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8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3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drawings/drawing4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5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1~我的投資\"/>
    </mc:Choice>
  </mc:AlternateContent>
  <bookViews>
    <workbookView xWindow="-15" yWindow="6045" windowWidth="15390" windowHeight="1575" activeTab="1"/>
  </bookViews>
  <sheets>
    <sheet name="基本設定" sheetId="4" r:id="rId1"/>
    <sheet name="財報紅綠燈" sheetId="1" r:id="rId2"/>
    <sheet name="財報PK" sheetId="7" r:id="rId3"/>
    <sheet name="篩股系統" sheetId="5" r:id="rId4"/>
    <sheet name="篩穀結果" sheetId="6" r:id="rId5"/>
    <sheet name="評比系統" sheetId="2" r:id="rId6"/>
    <sheet name="清單表" sheetId="3" r:id="rId7"/>
    <sheet name="PK" sheetId="8" r:id="rId8"/>
    <sheet name="PKA" sheetId="9" r:id="rId9"/>
    <sheet name="PKB" sheetId="10" r:id="rId10"/>
    <sheet name="PKC" sheetId="11" r:id="rId11"/>
    <sheet name="PRICE" sheetId="12" r:id="rId12"/>
  </sheets>
  <definedNames>
    <definedName name="_xlnm._FilterDatabase" localSheetId="4" hidden="1">篩穀結果!$A$1:$AC$1564</definedName>
    <definedName name="EE" localSheetId="11">PRICE!$B$90</definedName>
    <definedName name="EE" localSheetId="1">財報紅綠燈!$O$108</definedName>
    <definedName name="外部資料_1" localSheetId="8">PKA!#REF!</definedName>
    <definedName name="外部資料_1" localSheetId="9">PKB!#REF!</definedName>
    <definedName name="外部資料_1" localSheetId="10">PKC!#REF!</definedName>
    <definedName name="外部資料_1" localSheetId="11">PRICE!#REF!</definedName>
    <definedName name="外部資料_1" localSheetId="1">財報紅綠燈!#REF!</definedName>
    <definedName name="外部資料_1" localSheetId="5">評比系統!#REF!</definedName>
    <definedName name="外部資料_1" localSheetId="3">篩股系統!#REF!</definedName>
    <definedName name="外部資料_10" localSheetId="8">PKA!#REF!</definedName>
    <definedName name="外部資料_10" localSheetId="9">PKB!#REF!</definedName>
    <definedName name="外部資料_10" localSheetId="10">PKC!#REF!</definedName>
    <definedName name="外部資料_10" localSheetId="1">財報紅綠燈!#REF!</definedName>
    <definedName name="外部資料_10" localSheetId="5">評比系統!#REF!</definedName>
    <definedName name="外部資料_10" localSheetId="3">篩股系統!#REF!</definedName>
    <definedName name="外部資料_100" localSheetId="8">PKA!#REF!</definedName>
    <definedName name="外部資料_100" localSheetId="9">PKB!#REF!</definedName>
    <definedName name="外部資料_100" localSheetId="10">PKC!#REF!</definedName>
    <definedName name="外部資料_100" localSheetId="1">財報紅綠燈!#REF!</definedName>
    <definedName name="外部資料_100" localSheetId="3">篩股系統!$D$2:$L$5</definedName>
    <definedName name="外部資料_1000" localSheetId="1">財報紅綠燈!#REF!</definedName>
    <definedName name="外部資料_1001" localSheetId="1">財報紅綠燈!#REF!</definedName>
    <definedName name="外部資料_1003" localSheetId="1">財報紅綠燈!#REF!</definedName>
    <definedName name="外部資料_1004" localSheetId="1">財報紅綠燈!#REF!</definedName>
    <definedName name="外部資料_1005" localSheetId="1">財報紅綠燈!#REF!</definedName>
    <definedName name="外部資料_1007" localSheetId="1">財報紅綠燈!#REF!</definedName>
    <definedName name="外部資料_1008" localSheetId="1">財報紅綠燈!#REF!</definedName>
    <definedName name="外部資料_1009" localSheetId="1">財報紅綠燈!#REF!</definedName>
    <definedName name="外部資料_101" localSheetId="8">PKA!#REF!</definedName>
    <definedName name="外部資料_101" localSheetId="9">PKB!#REF!</definedName>
    <definedName name="外部資料_101" localSheetId="10">PKC!#REF!</definedName>
    <definedName name="外部資料_101" localSheetId="1">財報紅綠燈!#REF!</definedName>
    <definedName name="外部資料_101" localSheetId="3">篩股系統!$D$2:$L$5</definedName>
    <definedName name="外部資料_1011" localSheetId="1">財報紅綠燈!#REF!</definedName>
    <definedName name="外部資料_1012" localSheetId="1">財報紅綠燈!#REF!</definedName>
    <definedName name="外部資料_1013" localSheetId="1">財報紅綠燈!#REF!</definedName>
    <definedName name="外部資料_1015" localSheetId="1">財報紅綠燈!#REF!</definedName>
    <definedName name="外部資料_1016" localSheetId="1">財報紅綠燈!#REF!</definedName>
    <definedName name="外部資料_1017" localSheetId="1">財報紅綠燈!#REF!</definedName>
    <definedName name="外部資料_1019" localSheetId="1">財報紅綠燈!#REF!</definedName>
    <definedName name="外部資料_102" localSheetId="8">PKA!#REF!</definedName>
    <definedName name="外部資料_102" localSheetId="9">PKB!#REF!</definedName>
    <definedName name="外部資料_102" localSheetId="10">PKC!#REF!</definedName>
    <definedName name="外部資料_102" localSheetId="1">財報紅綠燈!#REF!</definedName>
    <definedName name="外部資料_102" localSheetId="3">篩股系統!$D$2:$L$5</definedName>
    <definedName name="外部資料_1020" localSheetId="1">財報紅綠燈!#REF!</definedName>
    <definedName name="外部資料_1021" localSheetId="1">財報紅綠燈!#REF!</definedName>
    <definedName name="外部資料_1023" localSheetId="1">財報紅綠燈!#REF!</definedName>
    <definedName name="外部資料_1024" localSheetId="1">財報紅綠燈!#REF!</definedName>
    <definedName name="外部資料_1025" localSheetId="1">財報紅綠燈!#REF!</definedName>
    <definedName name="外部資料_1027" localSheetId="1">財報紅綠燈!#REF!</definedName>
    <definedName name="外部資料_1028" localSheetId="1">財報紅綠燈!#REF!</definedName>
    <definedName name="外部資料_1029" localSheetId="1">財報紅綠燈!#REF!</definedName>
    <definedName name="外部資料_103" localSheetId="8">PKA!#REF!</definedName>
    <definedName name="外部資料_103" localSheetId="9">PKB!#REF!</definedName>
    <definedName name="外部資料_103" localSheetId="10">PKC!#REF!</definedName>
    <definedName name="外部資料_103" localSheetId="3">篩股系統!$D$2:$L$5</definedName>
    <definedName name="外部資料_1031" localSheetId="1">財報紅綠燈!#REF!</definedName>
    <definedName name="外部資料_1032" localSheetId="1">財報紅綠燈!#REF!</definedName>
    <definedName name="外部資料_1033" localSheetId="1">財報紅綠燈!#REF!</definedName>
    <definedName name="外部資料_1035" localSheetId="1">財報紅綠燈!#REF!</definedName>
    <definedName name="外部資料_1036" localSheetId="1">財報紅綠燈!#REF!</definedName>
    <definedName name="外部資料_1037" localSheetId="1">財報紅綠燈!#REF!</definedName>
    <definedName name="外部資料_1039" localSheetId="1">財報紅綠燈!#REF!</definedName>
    <definedName name="外部資料_104" localSheetId="8">PKA!#REF!</definedName>
    <definedName name="外部資料_104" localSheetId="9">PKB!#REF!</definedName>
    <definedName name="外部資料_104" localSheetId="10">PKC!#REF!</definedName>
    <definedName name="外部資料_104" localSheetId="1">財報紅綠燈!#REF!</definedName>
    <definedName name="外部資料_104" localSheetId="3">篩股系統!$D$2:$L$5</definedName>
    <definedName name="外部資料_1040" localSheetId="1">財報紅綠燈!#REF!</definedName>
    <definedName name="外部資料_1041" localSheetId="1">財報紅綠燈!#REF!</definedName>
    <definedName name="外部資料_1043" localSheetId="1">財報紅綠燈!#REF!</definedName>
    <definedName name="外部資料_1044" localSheetId="1">財報紅綠燈!#REF!</definedName>
    <definedName name="外部資料_1045" localSheetId="1">財報紅綠燈!#REF!</definedName>
    <definedName name="外部資料_1047" localSheetId="1">財報紅綠燈!#REF!</definedName>
    <definedName name="外部資料_1048" localSheetId="1">財報紅綠燈!#REF!</definedName>
    <definedName name="外部資料_1049" localSheetId="1">財報紅綠燈!#REF!</definedName>
    <definedName name="外部資料_105" localSheetId="8">PKA!#REF!</definedName>
    <definedName name="外部資料_105" localSheetId="9">PKB!#REF!</definedName>
    <definedName name="外部資料_105" localSheetId="10">PKC!#REF!</definedName>
    <definedName name="外部資料_105" localSheetId="1">財報紅綠燈!#REF!</definedName>
    <definedName name="外部資料_105" localSheetId="3">篩股系統!$D$2:$L$5</definedName>
    <definedName name="外部資料_1051" localSheetId="1">財報紅綠燈!#REF!</definedName>
    <definedName name="外部資料_1052" localSheetId="1">財報紅綠燈!#REF!</definedName>
    <definedName name="外部資料_1053" localSheetId="1">財報紅綠燈!#REF!</definedName>
    <definedName name="外部資料_1055" localSheetId="1">財報紅綠燈!#REF!</definedName>
    <definedName name="外部資料_1056" localSheetId="1">財報紅綠燈!#REF!</definedName>
    <definedName name="外部資料_1057" localSheetId="1">財報紅綠燈!#REF!</definedName>
    <definedName name="外部資料_1059" localSheetId="1">財報紅綠燈!#REF!</definedName>
    <definedName name="外部資料_106" localSheetId="8">PKA!#REF!</definedName>
    <definedName name="外部資料_106" localSheetId="9">PKB!#REF!</definedName>
    <definedName name="外部資料_106" localSheetId="10">PKC!#REF!</definedName>
    <definedName name="外部資料_106" localSheetId="1">財報紅綠燈!#REF!</definedName>
    <definedName name="外部資料_106" localSheetId="3">篩股系統!$D$2:$L$5</definedName>
    <definedName name="外部資料_1060" localSheetId="1">財報紅綠燈!#REF!</definedName>
    <definedName name="外部資料_1061" localSheetId="1">財報紅綠燈!#REF!</definedName>
    <definedName name="外部資料_1063" localSheetId="1">財報紅綠燈!#REF!</definedName>
    <definedName name="外部資料_1064" localSheetId="1">財報紅綠燈!#REF!</definedName>
    <definedName name="外部資料_1065" localSheetId="1">財報紅綠燈!#REF!</definedName>
    <definedName name="外部資料_1067" localSheetId="1">財報紅綠燈!#REF!</definedName>
    <definedName name="外部資料_1068" localSheetId="1">財報紅綠燈!#REF!</definedName>
    <definedName name="外部資料_1069" localSheetId="1">財報紅綠燈!#REF!</definedName>
    <definedName name="外部資料_107" localSheetId="8">PKA!#REF!</definedName>
    <definedName name="外部資料_107" localSheetId="9">PKB!#REF!</definedName>
    <definedName name="外部資料_107" localSheetId="10">PKC!#REF!</definedName>
    <definedName name="外部資料_107" localSheetId="3">篩股系統!$D$2:$L$5</definedName>
    <definedName name="外部資料_1071" localSheetId="1">財報紅綠燈!#REF!</definedName>
    <definedName name="外部資料_1072" localSheetId="1">財報紅綠燈!#REF!</definedName>
    <definedName name="外部資料_1073" localSheetId="1">財報紅綠燈!#REF!</definedName>
    <definedName name="外部資料_1075" localSheetId="1">財報紅綠燈!#REF!</definedName>
    <definedName name="外部資料_1076" localSheetId="1">財報紅綠燈!#REF!</definedName>
    <definedName name="外部資料_1077" localSheetId="1">財報紅綠燈!#REF!</definedName>
    <definedName name="外部資料_1079" localSheetId="1">財報紅綠燈!#REF!</definedName>
    <definedName name="外部資料_108" localSheetId="8">PKA!#REF!</definedName>
    <definedName name="外部資料_108" localSheetId="9">PKB!#REF!</definedName>
    <definedName name="外部資料_108" localSheetId="10">PKC!#REF!</definedName>
    <definedName name="外部資料_108" localSheetId="1">財報紅綠燈!#REF!</definedName>
    <definedName name="外部資料_108" localSheetId="3">篩股系統!$D$2:$L$5</definedName>
    <definedName name="外部資料_1080" localSheetId="1">財報紅綠燈!#REF!</definedName>
    <definedName name="外部資料_1081" localSheetId="1">財報紅綠燈!#REF!</definedName>
    <definedName name="外部資料_1083" localSheetId="1">財報紅綠燈!#REF!</definedName>
    <definedName name="外部資料_1084" localSheetId="1">財報紅綠燈!#REF!</definedName>
    <definedName name="外部資料_1085" localSheetId="1">財報紅綠燈!#REF!</definedName>
    <definedName name="外部資料_1087" localSheetId="1">財報紅綠燈!#REF!</definedName>
    <definedName name="外部資料_1088" localSheetId="1">財報紅綠燈!#REF!</definedName>
    <definedName name="外部資料_1089" localSheetId="1">財報紅綠燈!#REF!</definedName>
    <definedName name="外部資料_109" localSheetId="8">PKA!#REF!</definedName>
    <definedName name="外部資料_109" localSheetId="9">PKB!#REF!</definedName>
    <definedName name="外部資料_109" localSheetId="10">PKC!#REF!</definedName>
    <definedName name="外部資料_109" localSheetId="1">財報紅綠燈!#REF!</definedName>
    <definedName name="外部資料_109" localSheetId="3">篩股系統!$D$2:$L$5</definedName>
    <definedName name="外部資料_1091" localSheetId="1">財報紅綠燈!#REF!</definedName>
    <definedName name="外部資料_1092" localSheetId="1">財報紅綠燈!#REF!</definedName>
    <definedName name="外部資料_1093" localSheetId="1">財報紅綠燈!#REF!</definedName>
    <definedName name="外部資料_1095" localSheetId="1">財報紅綠燈!#REF!</definedName>
    <definedName name="外部資料_1096" localSheetId="1">財報紅綠燈!#REF!</definedName>
    <definedName name="外部資料_1097" localSheetId="1">財報紅綠燈!#REF!</definedName>
    <definedName name="外部資料_1099" localSheetId="1">財報紅綠燈!#REF!</definedName>
    <definedName name="外部資料_11" localSheetId="8">PKA!#REF!</definedName>
    <definedName name="外部資料_11" localSheetId="9">PKB!#REF!</definedName>
    <definedName name="外部資料_11" localSheetId="10">PKC!#REF!</definedName>
    <definedName name="外部資料_11" localSheetId="1">財報紅綠燈!#REF!</definedName>
    <definedName name="外部資料_11" localSheetId="5">評比系統!#REF!</definedName>
    <definedName name="外部資料_11" localSheetId="3">篩股系統!#REF!</definedName>
    <definedName name="外部資料_110" localSheetId="8">PKA!#REF!</definedName>
    <definedName name="外部資料_110" localSheetId="9">PKB!#REF!</definedName>
    <definedName name="外部資料_110" localSheetId="10">PKC!#REF!</definedName>
    <definedName name="外部資料_110" localSheetId="1">財報紅綠燈!#REF!</definedName>
    <definedName name="外部資料_110" localSheetId="3">篩股系統!$D$2:$L$5</definedName>
    <definedName name="外部資料_1100" localSheetId="1">財報紅綠燈!#REF!</definedName>
    <definedName name="外部資料_1101" localSheetId="1">財報紅綠燈!#REF!</definedName>
    <definedName name="外部資料_1103" localSheetId="1">財報紅綠燈!#REF!</definedName>
    <definedName name="外部資料_1104" localSheetId="1">財報紅綠燈!#REF!</definedName>
    <definedName name="外部資料_1105" localSheetId="1">財報紅綠燈!#REF!</definedName>
    <definedName name="外部資料_1107" localSheetId="1">財報紅綠燈!#REF!</definedName>
    <definedName name="外部資料_1108" localSheetId="1">財報紅綠燈!#REF!</definedName>
    <definedName name="外部資料_1109" localSheetId="1">財報紅綠燈!#REF!</definedName>
    <definedName name="外部資料_111" localSheetId="8">PKA!#REF!</definedName>
    <definedName name="外部資料_111" localSheetId="9">PKB!#REF!</definedName>
    <definedName name="外部資料_111" localSheetId="10">PKC!#REF!</definedName>
    <definedName name="外部資料_111" localSheetId="3">篩股系統!$D$2:$L$5</definedName>
    <definedName name="外部資料_1111" localSheetId="1">財報紅綠燈!#REF!</definedName>
    <definedName name="外部資料_1112" localSheetId="1">財報紅綠燈!#REF!</definedName>
    <definedName name="外部資料_1113" localSheetId="1">財報紅綠燈!#REF!</definedName>
    <definedName name="外部資料_1115" localSheetId="1">財報紅綠燈!#REF!</definedName>
    <definedName name="外部資料_1116" localSheetId="1">財報紅綠燈!#REF!</definedName>
    <definedName name="外部資料_1117" localSheetId="1">財報紅綠燈!#REF!</definedName>
    <definedName name="外部資料_1119" localSheetId="1">財報紅綠燈!#REF!</definedName>
    <definedName name="外部資料_112" localSheetId="8">PKA!#REF!</definedName>
    <definedName name="外部資料_112" localSheetId="9">PKB!#REF!</definedName>
    <definedName name="外部資料_112" localSheetId="10">PKC!#REF!</definedName>
    <definedName name="外部資料_112" localSheetId="1">財報紅綠燈!#REF!</definedName>
    <definedName name="外部資料_112" localSheetId="3">篩股系統!$D$2:$L$5</definedName>
    <definedName name="外部資料_1120" localSheetId="1">財報紅綠燈!#REF!</definedName>
    <definedName name="外部資料_1121" localSheetId="1">財報紅綠燈!#REF!</definedName>
    <definedName name="外部資料_1123" localSheetId="1">財報紅綠燈!#REF!</definedName>
    <definedName name="外部資料_1124" localSheetId="1">財報紅綠燈!#REF!</definedName>
    <definedName name="外部資料_1125" localSheetId="1">財報紅綠燈!#REF!</definedName>
    <definedName name="外部資料_1127" localSheetId="1">財報紅綠燈!#REF!</definedName>
    <definedName name="外部資料_1128" localSheetId="1">財報紅綠燈!#REF!</definedName>
    <definedName name="外部資料_1129" localSheetId="1">財報紅綠燈!#REF!</definedName>
    <definedName name="外部資料_113" localSheetId="8">PKA!#REF!</definedName>
    <definedName name="外部資料_113" localSheetId="9">PKB!#REF!</definedName>
    <definedName name="外部資料_113" localSheetId="10">PKC!#REF!</definedName>
    <definedName name="外部資料_113" localSheetId="1">財報紅綠燈!#REF!</definedName>
    <definedName name="外部資料_113" localSheetId="3">篩股系統!$D$2:$L$5</definedName>
    <definedName name="外部資料_1131" localSheetId="1">財報紅綠燈!#REF!</definedName>
    <definedName name="外部資料_1132" localSheetId="1">財報紅綠燈!#REF!</definedName>
    <definedName name="外部資料_1134" localSheetId="1">財報紅綠燈!#REF!</definedName>
    <definedName name="外部資料_1135" localSheetId="1">財報紅綠燈!#REF!</definedName>
    <definedName name="外部資料_1136" localSheetId="1">財報紅綠燈!#REF!</definedName>
    <definedName name="外部資料_1138" localSheetId="1">財報紅綠燈!#REF!</definedName>
    <definedName name="外部資料_1139" localSheetId="1">財報紅綠燈!#REF!</definedName>
    <definedName name="外部資料_114" localSheetId="8">PKA!#REF!</definedName>
    <definedName name="外部資料_114" localSheetId="9">PKB!#REF!</definedName>
    <definedName name="外部資料_114" localSheetId="10">PKC!#REF!</definedName>
    <definedName name="外部資料_114" localSheetId="1">財報紅綠燈!#REF!</definedName>
    <definedName name="外部資料_114" localSheetId="3">篩股系統!$D$2:$L$5</definedName>
    <definedName name="外部資料_1140" localSheetId="1">財報紅綠燈!#REF!</definedName>
    <definedName name="外部資料_1142" localSheetId="1">財報紅綠燈!#REF!</definedName>
    <definedName name="外部資料_1143" localSheetId="1">財報紅綠燈!#REF!</definedName>
    <definedName name="外部資料_1144" localSheetId="1">財報紅綠燈!#REF!</definedName>
    <definedName name="外部資料_1146" localSheetId="1">財報紅綠燈!#REF!</definedName>
    <definedName name="外部資料_1147" localSheetId="1">財報紅綠燈!#REF!</definedName>
    <definedName name="外部資料_1148" localSheetId="1">財報紅綠燈!#REF!</definedName>
    <definedName name="外部資料_115" localSheetId="8">PKA!#REF!</definedName>
    <definedName name="外部資料_115" localSheetId="9">PKB!#REF!</definedName>
    <definedName name="外部資料_115" localSheetId="10">PKC!#REF!</definedName>
    <definedName name="外部資料_115" localSheetId="3">篩股系統!$D$2:$L$5</definedName>
    <definedName name="外部資料_1150" localSheetId="1">財報紅綠燈!#REF!</definedName>
    <definedName name="外部資料_1151" localSheetId="1">財報紅綠燈!#REF!</definedName>
    <definedName name="外部資料_1152" localSheetId="1">財報紅綠燈!#REF!</definedName>
    <definedName name="外部資料_1154" localSheetId="1">財報紅綠燈!#REF!</definedName>
    <definedName name="外部資料_1155" localSheetId="1">財報紅綠燈!#REF!</definedName>
    <definedName name="外部資料_1156" localSheetId="1">財報紅綠燈!#REF!</definedName>
    <definedName name="外部資料_1158" localSheetId="1">財報紅綠燈!#REF!</definedName>
    <definedName name="外部資料_1159" localSheetId="1">財報紅綠燈!#REF!</definedName>
    <definedName name="外部資料_116" localSheetId="8">PKA!#REF!</definedName>
    <definedName name="外部資料_116" localSheetId="9">PKB!#REF!</definedName>
    <definedName name="外部資料_116" localSheetId="10">PKC!#REF!</definedName>
    <definedName name="外部資料_116" localSheetId="1">財報紅綠燈!#REF!</definedName>
    <definedName name="外部資料_116" localSheetId="3">篩股系統!$D$2:$L$5</definedName>
    <definedName name="外部資料_1160" localSheetId="1">財報紅綠燈!#REF!</definedName>
    <definedName name="外部資料_1162" localSheetId="1">財報紅綠燈!#REF!</definedName>
    <definedName name="外部資料_1163" localSheetId="1">財報紅綠燈!#REF!</definedName>
    <definedName name="外部資料_1164" localSheetId="1">財報紅綠燈!#REF!</definedName>
    <definedName name="外部資料_1166" localSheetId="1">財報紅綠燈!#REF!</definedName>
    <definedName name="外部資料_1167" localSheetId="1">財報紅綠燈!#REF!</definedName>
    <definedName name="外部資料_1168" localSheetId="1">財報紅綠燈!#REF!</definedName>
    <definedName name="外部資料_117" localSheetId="8">PKA!#REF!</definedName>
    <definedName name="外部資料_117" localSheetId="9">PKB!#REF!</definedName>
    <definedName name="外部資料_117" localSheetId="10">PKC!#REF!</definedName>
    <definedName name="外部資料_117" localSheetId="1">財報紅綠燈!#REF!</definedName>
    <definedName name="外部資料_117" localSheetId="3">篩股系統!$D$2:$L$5</definedName>
    <definedName name="外部資料_1170" localSheetId="1">財報紅綠燈!#REF!</definedName>
    <definedName name="外部資料_1171" localSheetId="1">財報紅綠燈!#REF!</definedName>
    <definedName name="外部資料_1172" localSheetId="1">財報紅綠燈!#REF!</definedName>
    <definedName name="外部資料_1174" localSheetId="1">財報紅綠燈!#REF!</definedName>
    <definedName name="外部資料_1175" localSheetId="1">財報紅綠燈!#REF!</definedName>
    <definedName name="外部資料_1176" localSheetId="1">財報紅綠燈!#REF!</definedName>
    <definedName name="外部資料_1178" localSheetId="1">財報紅綠燈!#REF!</definedName>
    <definedName name="外部資料_1179" localSheetId="1">財報紅綠燈!#REF!</definedName>
    <definedName name="外部資料_118" localSheetId="8">PKA!#REF!</definedName>
    <definedName name="外部資料_118" localSheetId="9">PKB!#REF!</definedName>
    <definedName name="外部資料_118" localSheetId="10">PKC!#REF!</definedName>
    <definedName name="外部資料_118" localSheetId="3">篩股系統!$D$2:$L$5</definedName>
    <definedName name="外部資料_1180" localSheetId="1">財報紅綠燈!#REF!</definedName>
    <definedName name="外部資料_1182" localSheetId="1">財報紅綠燈!#REF!</definedName>
    <definedName name="外部資料_1183" localSheetId="1">財報紅綠燈!#REF!</definedName>
    <definedName name="外部資料_1184" localSheetId="1">財報紅綠燈!#REF!</definedName>
    <definedName name="外部資料_1186" localSheetId="1">財報紅綠燈!#REF!</definedName>
    <definedName name="外部資料_1187" localSheetId="1">財報紅綠燈!#REF!</definedName>
    <definedName name="外部資料_1188" localSheetId="1">財報紅綠燈!#REF!</definedName>
    <definedName name="外部資料_119" localSheetId="8">PKA!#REF!</definedName>
    <definedName name="外部資料_119" localSheetId="9">PKB!#REF!</definedName>
    <definedName name="外部資料_119" localSheetId="10">PKC!#REF!</definedName>
    <definedName name="外部資料_119" localSheetId="1">財報紅綠燈!#REF!</definedName>
    <definedName name="外部資料_119" localSheetId="3">篩股系統!$D$2:$L$5</definedName>
    <definedName name="外部資料_1190" localSheetId="1">財報紅綠燈!#REF!</definedName>
    <definedName name="外部資料_1191" localSheetId="1">財報紅綠燈!#REF!</definedName>
    <definedName name="外部資料_1192" localSheetId="1">財報紅綠燈!#REF!</definedName>
    <definedName name="外部資料_1194" localSheetId="1">財報紅綠燈!#REF!</definedName>
    <definedName name="外部資料_1195" localSheetId="1">財報紅綠燈!#REF!</definedName>
    <definedName name="外部資料_1196" localSheetId="1">財報紅綠燈!#REF!</definedName>
    <definedName name="外部資料_1198" localSheetId="1">財報紅綠燈!#REF!</definedName>
    <definedName name="外部資料_1199" localSheetId="1">財報紅綠燈!#REF!</definedName>
    <definedName name="外部資料_12" localSheetId="8">PKA!#REF!</definedName>
    <definedName name="外部資料_12" localSheetId="9">PKB!#REF!</definedName>
    <definedName name="外部資料_12" localSheetId="10">PKC!#REF!</definedName>
    <definedName name="外部資料_12" localSheetId="1">財報紅綠燈!#REF!</definedName>
    <definedName name="外部資料_12" localSheetId="5">評比系統!#REF!</definedName>
    <definedName name="外部資料_12" localSheetId="3">篩股系統!#REF!</definedName>
    <definedName name="外部資料_120" localSheetId="8">PKA!#REF!</definedName>
    <definedName name="外部資料_120" localSheetId="9">PKB!#REF!</definedName>
    <definedName name="外部資料_120" localSheetId="10">PKC!#REF!</definedName>
    <definedName name="外部資料_120" localSheetId="1">財報紅綠燈!#REF!</definedName>
    <definedName name="外部資料_120" localSheetId="3">篩股系統!$D$2:$L$5</definedName>
    <definedName name="外部資料_1200" localSheetId="1">財報紅綠燈!#REF!</definedName>
    <definedName name="外部資料_1202" localSheetId="1">財報紅綠燈!#REF!</definedName>
    <definedName name="外部資料_1203" localSheetId="1">財報紅綠燈!#REF!</definedName>
    <definedName name="外部資料_1204" localSheetId="1">財報紅綠燈!#REF!</definedName>
    <definedName name="外部資料_1206" localSheetId="1">財報紅綠燈!#REF!</definedName>
    <definedName name="外部資料_1207" localSheetId="1">財報紅綠燈!#REF!</definedName>
    <definedName name="外部資料_1209" localSheetId="1">財報紅綠燈!#REF!</definedName>
    <definedName name="外部資料_121" localSheetId="8">PKA!#REF!</definedName>
    <definedName name="外部資料_121" localSheetId="9">PKB!#REF!</definedName>
    <definedName name="外部資料_121" localSheetId="10">PKC!#REF!</definedName>
    <definedName name="外部資料_121" localSheetId="3">篩股系統!$D$2:$L$5</definedName>
    <definedName name="外部資料_1210" localSheetId="1">財報紅綠燈!#REF!</definedName>
    <definedName name="外部資料_1211" localSheetId="1">財報紅綠燈!#REF!</definedName>
    <definedName name="外部資料_1213" localSheetId="1">財報紅綠燈!#REF!</definedName>
    <definedName name="外部資料_1214" localSheetId="1">財報紅綠燈!#REF!</definedName>
    <definedName name="外部資料_1215" localSheetId="1">財報紅綠燈!#REF!</definedName>
    <definedName name="外部資料_1217" localSheetId="1">財報紅綠燈!#REF!</definedName>
    <definedName name="外部資料_1218" localSheetId="1">財報紅綠燈!#REF!</definedName>
    <definedName name="外部資料_1219" localSheetId="1">財報紅綠燈!#REF!</definedName>
    <definedName name="外部資料_122" localSheetId="8">PKA!#REF!</definedName>
    <definedName name="外部資料_122" localSheetId="9">PKB!#REF!</definedName>
    <definedName name="外部資料_122" localSheetId="10">PKC!#REF!</definedName>
    <definedName name="外部資料_122" localSheetId="1">財報紅綠燈!#REF!</definedName>
    <definedName name="外部資料_122" localSheetId="3">篩股系統!$D$2:$L$5</definedName>
    <definedName name="外部資料_1221" localSheetId="1">財報紅綠燈!#REF!</definedName>
    <definedName name="外部資料_1222" localSheetId="1">財報紅綠燈!#REF!</definedName>
    <definedName name="外部資料_1223" localSheetId="1">財報紅綠燈!#REF!</definedName>
    <definedName name="外部資料_1225" localSheetId="1">財報紅綠燈!#REF!</definedName>
    <definedName name="外部資料_1226" localSheetId="1">財報紅綠燈!#REF!</definedName>
    <definedName name="外部資料_1227" localSheetId="1">財報紅綠燈!#REF!</definedName>
    <definedName name="外部資料_1229" localSheetId="1">財報紅綠燈!#REF!</definedName>
    <definedName name="外部資料_123" localSheetId="8">PKA!#REF!</definedName>
    <definedName name="外部資料_123" localSheetId="9">PKB!#REF!</definedName>
    <definedName name="外部資料_123" localSheetId="10">PKC!#REF!</definedName>
    <definedName name="外部資料_123" localSheetId="1">財報紅綠燈!#REF!</definedName>
    <definedName name="外部資料_123" localSheetId="3">篩股系統!$D$2:$L$5</definedName>
    <definedName name="外部資料_1230" localSheetId="1">財報紅綠燈!#REF!</definedName>
    <definedName name="外部資料_1231" localSheetId="1">財報紅綠燈!#REF!</definedName>
    <definedName name="外部資料_1233" localSheetId="1">財報紅綠燈!#REF!</definedName>
    <definedName name="外部資料_1234" localSheetId="1">財報紅綠燈!#REF!</definedName>
    <definedName name="外部資料_1235" localSheetId="1">財報紅綠燈!#REF!</definedName>
    <definedName name="外部資料_1237" localSheetId="1">財報紅綠燈!#REF!</definedName>
    <definedName name="外部資料_1238" localSheetId="1">財報紅綠燈!#REF!</definedName>
    <definedName name="外部資料_1239" localSheetId="1">財報紅綠燈!#REF!</definedName>
    <definedName name="外部資料_124" localSheetId="8">PKA!#REF!</definedName>
    <definedName name="外部資料_124" localSheetId="9">PKB!#REF!</definedName>
    <definedName name="外部資料_124" localSheetId="10">PKC!#REF!</definedName>
    <definedName name="外部資料_124" localSheetId="1">財報紅綠燈!#REF!</definedName>
    <definedName name="外部資料_124" localSheetId="3">篩股系統!$D$2:$L$5</definedName>
    <definedName name="外部資料_1241" localSheetId="1">財報紅綠燈!#REF!</definedName>
    <definedName name="外部資料_1242" localSheetId="1">財報紅綠燈!#REF!</definedName>
    <definedName name="外部資料_1243" localSheetId="1">財報紅綠燈!#REF!</definedName>
    <definedName name="外部資料_1245" localSheetId="1">財報紅綠燈!#REF!</definedName>
    <definedName name="外部資料_1246" localSheetId="1">財報紅綠燈!#REF!</definedName>
    <definedName name="外部資料_1247" localSheetId="1">財報紅綠燈!#REF!</definedName>
    <definedName name="外部資料_1249" localSheetId="1">財報紅綠燈!#REF!</definedName>
    <definedName name="外部資料_125" localSheetId="8">PKA!#REF!</definedName>
    <definedName name="外部資料_125" localSheetId="9">PKB!#REF!</definedName>
    <definedName name="外部資料_125" localSheetId="10">PKC!#REF!</definedName>
    <definedName name="外部資料_1250" localSheetId="1">財報紅綠燈!#REF!</definedName>
    <definedName name="外部資料_1251" localSheetId="1">財報紅綠燈!#REF!</definedName>
    <definedName name="外部資料_1253" localSheetId="1">財報紅綠燈!#REF!</definedName>
    <definedName name="外部資料_1254" localSheetId="1">財報紅綠燈!#REF!</definedName>
    <definedName name="外部資料_1255" localSheetId="1">財報紅綠燈!#REF!</definedName>
    <definedName name="外部資料_1257" localSheetId="1">財報紅綠燈!#REF!</definedName>
    <definedName name="外部資料_1258" localSheetId="1">財報紅綠燈!#REF!</definedName>
    <definedName name="外部資料_1259" localSheetId="1">財報紅綠燈!#REF!</definedName>
    <definedName name="外部資料_126" localSheetId="8">PKA!#REF!</definedName>
    <definedName name="外部資料_126" localSheetId="9">PKB!#REF!</definedName>
    <definedName name="外部資料_126" localSheetId="10">PKC!#REF!</definedName>
    <definedName name="外部資料_126" localSheetId="1">財報紅綠燈!#REF!</definedName>
    <definedName name="外部資料_1261" localSheetId="1">財報紅綠燈!#REF!</definedName>
    <definedName name="外部資料_1262" localSheetId="1">財報紅綠燈!#REF!</definedName>
    <definedName name="外部資料_1263" localSheetId="1">財報紅綠燈!#REF!</definedName>
    <definedName name="外部資料_1265" localSheetId="1">財報紅綠燈!#REF!</definedName>
    <definedName name="外部資料_1266" localSheetId="1">財報紅綠燈!#REF!</definedName>
    <definedName name="外部資料_1267" localSheetId="1">財報紅綠燈!#REF!</definedName>
    <definedName name="外部資料_1269" localSheetId="1">財報紅綠燈!#REF!</definedName>
    <definedName name="外部資料_127" localSheetId="8">PKA!#REF!</definedName>
    <definedName name="外部資料_127" localSheetId="9">PKB!#REF!</definedName>
    <definedName name="外部資料_127" localSheetId="10">PKC!#REF!</definedName>
    <definedName name="外部資料_127" localSheetId="1">財報紅綠燈!#REF!</definedName>
    <definedName name="外部資料_1270" localSheetId="1">財報紅綠燈!#REF!</definedName>
    <definedName name="外部資料_1271" localSheetId="1">財報紅綠燈!#REF!</definedName>
    <definedName name="外部資料_1273" localSheetId="1">財報紅綠燈!#REF!</definedName>
    <definedName name="外部資料_1274" localSheetId="1">財報紅綠燈!#REF!</definedName>
    <definedName name="外部資料_1275" localSheetId="1">財報紅綠燈!#REF!</definedName>
    <definedName name="外部資料_1277" localSheetId="1">財報紅綠燈!#REF!</definedName>
    <definedName name="外部資料_1278" localSheetId="1">財報紅綠燈!#REF!</definedName>
    <definedName name="外部資料_1279" localSheetId="1">財報紅綠燈!#REF!</definedName>
    <definedName name="外部資料_128" localSheetId="8">PKA!#REF!</definedName>
    <definedName name="外部資料_128" localSheetId="9">PKB!#REF!</definedName>
    <definedName name="外部資料_128" localSheetId="10">PKC!#REF!</definedName>
    <definedName name="外部資料_128" localSheetId="1">財報紅綠燈!#REF!</definedName>
    <definedName name="外部資料_1281" localSheetId="1">財報紅綠燈!#REF!</definedName>
    <definedName name="外部資料_1282" localSheetId="1">財報紅綠燈!#REF!</definedName>
    <definedName name="外部資料_1283" localSheetId="1">財報紅綠燈!#REF!</definedName>
    <definedName name="外部資料_1285" localSheetId="1">財報紅綠燈!#REF!</definedName>
    <definedName name="外部資料_1286" localSheetId="1">財報紅綠燈!#REF!</definedName>
    <definedName name="外部資料_1287" localSheetId="1">財報紅綠燈!#REF!</definedName>
    <definedName name="外部資料_1289" localSheetId="1">財報紅綠燈!#REF!</definedName>
    <definedName name="外部資料_129" localSheetId="8">PKA!#REF!</definedName>
    <definedName name="外部資料_129" localSheetId="9">PKB!#REF!</definedName>
    <definedName name="外部資料_129" localSheetId="10">PKC!#REF!</definedName>
    <definedName name="外部資料_1290" localSheetId="1">財報紅綠燈!#REF!</definedName>
    <definedName name="外部資料_1291" localSheetId="1">財報紅綠燈!#REF!</definedName>
    <definedName name="外部資料_1293" localSheetId="1">財報紅綠燈!#REF!</definedName>
    <definedName name="外部資料_1294" localSheetId="1">財報紅綠燈!#REF!</definedName>
    <definedName name="外部資料_1295" localSheetId="1">財報紅綠燈!#REF!</definedName>
    <definedName name="外部資料_1297" localSheetId="1">財報紅綠燈!#REF!</definedName>
    <definedName name="外部資料_1298" localSheetId="1">財報紅綠燈!#REF!</definedName>
    <definedName name="外部資料_1299" localSheetId="1">財報紅綠燈!#REF!</definedName>
    <definedName name="外部資料_13" localSheetId="8">PKA!#REF!</definedName>
    <definedName name="外部資料_13" localSheetId="9">PKB!#REF!</definedName>
    <definedName name="外部資料_13" localSheetId="10">PKC!#REF!</definedName>
    <definedName name="外部資料_13" localSheetId="1">財報紅綠燈!#REF!</definedName>
    <definedName name="外部資料_13" localSheetId="5">評比系統!#REF!</definedName>
    <definedName name="外部資料_13" localSheetId="3">篩股系統!#REF!</definedName>
    <definedName name="外部資料_130" localSheetId="8">PKA!#REF!</definedName>
    <definedName name="外部資料_130" localSheetId="9">PKB!#REF!</definedName>
    <definedName name="外部資料_130" localSheetId="10">PKC!#REF!</definedName>
    <definedName name="外部資料_130" localSheetId="1">財報紅綠燈!#REF!</definedName>
    <definedName name="外部資料_1301" localSheetId="1">財報紅綠燈!#REF!</definedName>
    <definedName name="外部資料_1302" localSheetId="1">財報紅綠燈!#REF!</definedName>
    <definedName name="外部資料_1303" localSheetId="1">財報紅綠燈!#REF!</definedName>
    <definedName name="外部資料_1305" localSheetId="1">財報紅綠燈!#REF!</definedName>
    <definedName name="外部資料_1306" localSheetId="1">財報紅綠燈!#REF!</definedName>
    <definedName name="外部資料_1307" localSheetId="1">財報紅綠燈!#REF!</definedName>
    <definedName name="外部資料_1309" localSheetId="1">財報紅綠燈!#REF!</definedName>
    <definedName name="外部資料_131" localSheetId="8">PKA!#REF!</definedName>
    <definedName name="外部資料_131" localSheetId="9">PKB!#REF!</definedName>
    <definedName name="外部資料_131" localSheetId="10">PKC!#REF!</definedName>
    <definedName name="外部資料_131" localSheetId="1">財報紅綠燈!#REF!</definedName>
    <definedName name="外部資料_1310" localSheetId="1">財報紅綠燈!#REF!</definedName>
    <definedName name="外部資料_1311" localSheetId="1">財報紅綠燈!#REF!</definedName>
    <definedName name="外部資料_1313" localSheetId="1">財報紅綠燈!#REF!</definedName>
    <definedName name="外部資料_1314" localSheetId="1">財報紅綠燈!#REF!</definedName>
    <definedName name="外部資料_1315" localSheetId="1">財報紅綠燈!#REF!</definedName>
    <definedName name="外部資料_1317" localSheetId="1">財報紅綠燈!#REF!</definedName>
    <definedName name="外部資料_1318" localSheetId="1">財報紅綠燈!#REF!</definedName>
    <definedName name="外部資料_1319" localSheetId="1">財報紅綠燈!#REF!</definedName>
    <definedName name="外部資料_132" localSheetId="8">PKA!#REF!</definedName>
    <definedName name="外部資料_132" localSheetId="9">PKB!#REF!</definedName>
    <definedName name="外部資料_132" localSheetId="10">PKC!#REF!</definedName>
    <definedName name="外部資料_132" localSheetId="1">財報紅綠燈!#REF!</definedName>
    <definedName name="外部資料_1321" localSheetId="1">財報紅綠燈!#REF!</definedName>
    <definedName name="外部資料_1322" localSheetId="1">財報紅綠燈!#REF!</definedName>
    <definedName name="外部資料_1323" localSheetId="1">財報紅綠燈!#REF!</definedName>
    <definedName name="外部資料_1325" localSheetId="1">財報紅綠燈!#REF!</definedName>
    <definedName name="外部資料_1326" localSheetId="1">財報紅綠燈!#REF!</definedName>
    <definedName name="外部資料_1327" localSheetId="1">財報紅綠燈!#REF!</definedName>
    <definedName name="外部資料_1329" localSheetId="1">財報紅綠燈!#REF!</definedName>
    <definedName name="外部資料_133" localSheetId="8">PKA!#REF!</definedName>
    <definedName name="外部資料_133" localSheetId="9">PKB!#REF!</definedName>
    <definedName name="外部資料_133" localSheetId="10">PKC!#REF!</definedName>
    <definedName name="外部資料_1330" localSheetId="1">財報紅綠燈!#REF!</definedName>
    <definedName name="外部資料_1332" localSheetId="1">財報紅綠燈!#REF!</definedName>
    <definedName name="外部資料_1333" localSheetId="1">財報紅綠燈!#REF!</definedName>
    <definedName name="外部資料_1334" localSheetId="1">財報紅綠燈!#REF!</definedName>
    <definedName name="外部資料_1336" localSheetId="1">財報紅綠燈!#REF!</definedName>
    <definedName name="外部資料_1337" localSheetId="1">財報紅綠燈!#REF!</definedName>
    <definedName name="外部資料_1338" localSheetId="1">財報紅綠燈!#REF!</definedName>
    <definedName name="外部資料_134" localSheetId="8">PKA!#REF!</definedName>
    <definedName name="外部資料_134" localSheetId="9">PKB!#REF!</definedName>
    <definedName name="外部資料_134" localSheetId="10">PKC!#REF!</definedName>
    <definedName name="外部資料_134" localSheetId="1">財報紅綠燈!#REF!</definedName>
    <definedName name="外部資料_1340" localSheetId="1">財報紅綠燈!#REF!</definedName>
    <definedName name="外部資料_1341" localSheetId="1">財報紅綠燈!#REF!</definedName>
    <definedName name="外部資料_1342" localSheetId="1">財報紅綠燈!#REF!</definedName>
    <definedName name="外部資料_1344" localSheetId="1">財報紅綠燈!#REF!</definedName>
    <definedName name="外部資料_1345" localSheetId="1">財報紅綠燈!#REF!</definedName>
    <definedName name="外部資料_1346" localSheetId="1">財報紅綠燈!#REF!</definedName>
    <definedName name="外部資料_1348" localSheetId="1">財報紅綠燈!#REF!</definedName>
    <definedName name="外部資料_1349" localSheetId="1">財報紅綠燈!#REF!</definedName>
    <definedName name="外部資料_135" localSheetId="8">PKA!#REF!</definedName>
    <definedName name="外部資料_135" localSheetId="9">PKB!#REF!</definedName>
    <definedName name="外部資料_135" localSheetId="10">PKC!#REF!</definedName>
    <definedName name="外部資料_135" localSheetId="1">財報紅綠燈!#REF!</definedName>
    <definedName name="外部資料_1350" localSheetId="1">財報紅綠燈!#REF!</definedName>
    <definedName name="外部資料_1352" localSheetId="1">財報紅綠燈!#REF!</definedName>
    <definedName name="外部資料_1353" localSheetId="1">財報紅綠燈!#REF!</definedName>
    <definedName name="外部資料_1354" localSheetId="1">財報紅綠燈!#REF!</definedName>
    <definedName name="外部資料_1356" localSheetId="1">財報紅綠燈!#REF!</definedName>
    <definedName name="外部資料_1357" localSheetId="1">財報紅綠燈!#REF!</definedName>
    <definedName name="外部資料_1358" localSheetId="1">財報紅綠燈!#REF!</definedName>
    <definedName name="外部資料_136" localSheetId="8">PKA!#REF!</definedName>
    <definedName name="外部資料_136" localSheetId="9">PKB!#REF!</definedName>
    <definedName name="外部資料_136" localSheetId="10">PKC!#REF!</definedName>
    <definedName name="外部資料_136" localSheetId="1">財報紅綠燈!#REF!</definedName>
    <definedName name="外部資料_1360" localSheetId="1">財報紅綠燈!#REF!</definedName>
    <definedName name="外部資料_1361" localSheetId="1">財報紅綠燈!#REF!</definedName>
    <definedName name="外部資料_1362" localSheetId="1">財報紅綠燈!#REF!</definedName>
    <definedName name="外部資料_1364" localSheetId="1">財報紅綠燈!#REF!</definedName>
    <definedName name="外部資料_1365" localSheetId="1">財報紅綠燈!#REF!</definedName>
    <definedName name="外部資料_1366" localSheetId="1">財報紅綠燈!#REF!</definedName>
    <definedName name="外部資料_1368" localSheetId="1">財報紅綠燈!#REF!</definedName>
    <definedName name="外部資料_1369" localSheetId="1">財報紅綠燈!#REF!</definedName>
    <definedName name="外部資料_137" localSheetId="8">PKA!#REF!</definedName>
    <definedName name="外部資料_137" localSheetId="9">PKB!#REF!</definedName>
    <definedName name="外部資料_137" localSheetId="10">PKC!#REF!</definedName>
    <definedName name="外部資料_1371" localSheetId="1">財報紅綠燈!#REF!</definedName>
    <definedName name="外部資料_1372" localSheetId="1">財報紅綠燈!#REF!</definedName>
    <definedName name="外部資料_1373" localSheetId="1">財報紅綠燈!#REF!</definedName>
    <definedName name="外部資料_1375" localSheetId="1">財報紅綠燈!#REF!</definedName>
    <definedName name="外部資料_1376" localSheetId="1">財報紅綠燈!#REF!</definedName>
    <definedName name="外部資料_1378" localSheetId="1">財報紅綠燈!#REF!</definedName>
    <definedName name="外部資料_1379" localSheetId="1">財報紅綠燈!#REF!</definedName>
    <definedName name="外部資料_138" localSheetId="8">PKA!#REF!</definedName>
    <definedName name="外部資料_138" localSheetId="9">PKB!#REF!</definedName>
    <definedName name="外部資料_138" localSheetId="10">PKC!#REF!</definedName>
    <definedName name="外部資料_138" localSheetId="1">財報紅綠燈!#REF!</definedName>
    <definedName name="外部資料_1380" localSheetId="1">財報紅綠燈!#REF!</definedName>
    <definedName name="外部資料_1382" localSheetId="1">財報紅綠燈!#REF!</definedName>
    <definedName name="外部資料_1383" localSheetId="1">財報紅綠燈!#REF!</definedName>
    <definedName name="外部資料_1384" localSheetId="1">財報紅綠燈!#REF!</definedName>
    <definedName name="外部資料_1386" localSheetId="1">財報紅綠燈!#REF!</definedName>
    <definedName name="外部資料_1387" localSheetId="1">財報紅綠燈!#REF!</definedName>
    <definedName name="外部資料_1388" localSheetId="1">財報紅綠燈!#REF!</definedName>
    <definedName name="外部資料_139" localSheetId="8">PKA!#REF!</definedName>
    <definedName name="外部資料_139" localSheetId="9">PKB!#REF!</definedName>
    <definedName name="外部資料_139" localSheetId="10">PKC!#REF!</definedName>
    <definedName name="外部資料_139" localSheetId="1">財報紅綠燈!#REF!</definedName>
    <definedName name="外部資料_1390" localSheetId="1">財報紅綠燈!#REF!</definedName>
    <definedName name="外部資料_1391" localSheetId="1">財報紅綠燈!#REF!</definedName>
    <definedName name="外部資料_1392" localSheetId="1">財報紅綠燈!#REF!</definedName>
    <definedName name="外部資料_1394" localSheetId="1">財報紅綠燈!#REF!</definedName>
    <definedName name="外部資料_1395" localSheetId="1">財報紅綠燈!#REF!</definedName>
    <definedName name="外部資料_1397" localSheetId="1">財報紅綠燈!#REF!</definedName>
    <definedName name="外部資料_1398" localSheetId="1">財報紅綠燈!#REF!</definedName>
    <definedName name="外部資料_14" localSheetId="8">PKA!#REF!</definedName>
    <definedName name="外部資料_14" localSheetId="9">PKB!#REF!</definedName>
    <definedName name="外部資料_14" localSheetId="10">PKC!#REF!</definedName>
    <definedName name="外部資料_14" localSheetId="1">財報紅綠燈!#REF!</definedName>
    <definedName name="外部資料_14" localSheetId="5">評比系統!#REF!</definedName>
    <definedName name="外部資料_14" localSheetId="3">篩股系統!#REF!</definedName>
    <definedName name="外部資料_140" localSheetId="8">PKA!#REF!</definedName>
    <definedName name="外部資料_140" localSheetId="9">PKB!#REF!</definedName>
    <definedName name="外部資料_140" localSheetId="10">PKC!#REF!</definedName>
    <definedName name="外部資料_1400" localSheetId="1">財報紅綠燈!#REF!</definedName>
    <definedName name="外部資料_1401" localSheetId="1">財報紅綠燈!#REF!</definedName>
    <definedName name="外部資料_1402" localSheetId="1">財報紅綠燈!#REF!</definedName>
    <definedName name="外部資料_1404" localSheetId="1">財報紅綠燈!#REF!</definedName>
    <definedName name="外部資料_1405" localSheetId="1">財報紅綠燈!#REF!</definedName>
    <definedName name="外部資料_1406" localSheetId="1">財報紅綠燈!#REF!</definedName>
    <definedName name="外部資料_1408" localSheetId="1">財報紅綠燈!#REF!</definedName>
    <definedName name="外部資料_1409" localSheetId="1">財報紅綠燈!#REF!</definedName>
    <definedName name="外部資料_141" localSheetId="8">PKA!#REF!</definedName>
    <definedName name="外部資料_141" localSheetId="9">PKB!#REF!</definedName>
    <definedName name="外部資料_141" localSheetId="10">PKC!#REF!</definedName>
    <definedName name="外部資料_141" localSheetId="1">財報紅綠燈!#REF!</definedName>
    <definedName name="外部資料_1410" localSheetId="1">財報紅綠燈!#REF!</definedName>
    <definedName name="外部資料_1412" localSheetId="1">財報紅綠燈!#REF!</definedName>
    <definedName name="外部資料_1413" localSheetId="1">財報紅綠燈!#REF!</definedName>
    <definedName name="外部資料_1414" localSheetId="1">財報紅綠燈!#REF!</definedName>
    <definedName name="外部資料_1416" localSheetId="1">財報紅綠燈!#REF!</definedName>
    <definedName name="外部資料_1417" localSheetId="1">財報紅綠燈!#REF!</definedName>
    <definedName name="外部資料_1418" localSheetId="1">財報紅綠燈!#REF!</definedName>
    <definedName name="外部資料_142" localSheetId="8">PKA!#REF!</definedName>
    <definedName name="外部資料_142" localSheetId="9">PKB!#REF!</definedName>
    <definedName name="外部資料_142" localSheetId="10">PKC!#REF!</definedName>
    <definedName name="外部資料_142" localSheetId="1">財報紅綠燈!#REF!</definedName>
    <definedName name="外部資料_1420" localSheetId="1">財報紅綠燈!#REF!</definedName>
    <definedName name="外部資料_1421" localSheetId="1">財報紅綠燈!#REF!</definedName>
    <definedName name="外部資料_1423" localSheetId="1">財報紅綠燈!#REF!</definedName>
    <definedName name="外部資料_1424" localSheetId="1">財報紅綠燈!#REF!</definedName>
    <definedName name="外部資料_1425" localSheetId="1">財報紅綠燈!#REF!</definedName>
    <definedName name="外部資料_1427" localSheetId="1">財報紅綠燈!#REF!</definedName>
    <definedName name="外部資料_1428" localSheetId="1">財報紅綠燈!#REF!</definedName>
    <definedName name="外部資料_1429" localSheetId="1">財報紅綠燈!#REF!</definedName>
    <definedName name="外部資料_143" localSheetId="8">PKA!#REF!</definedName>
    <definedName name="外部資料_143" localSheetId="9">PKB!#REF!</definedName>
    <definedName name="外部資料_143" localSheetId="10">PKC!#REF!</definedName>
    <definedName name="外部資料_143" localSheetId="1">財報紅綠燈!#REF!</definedName>
    <definedName name="外部資料_1431" localSheetId="1">財報紅綠燈!#REF!</definedName>
    <definedName name="外部資料_1432" localSheetId="1">財報紅綠燈!#REF!</definedName>
    <definedName name="外部資料_1433" localSheetId="1">財報紅綠燈!#REF!</definedName>
    <definedName name="外部資料_1435" localSheetId="1">財報紅綠燈!#REF!</definedName>
    <definedName name="外部資料_1436" localSheetId="1">財報紅綠燈!#REF!</definedName>
    <definedName name="外部資料_1437" localSheetId="1">財報紅綠燈!#REF!</definedName>
    <definedName name="外部資料_1439" localSheetId="1">財報紅綠燈!#REF!</definedName>
    <definedName name="外部資料_144" localSheetId="8">PKA!#REF!</definedName>
    <definedName name="外部資料_144" localSheetId="9">PKB!#REF!</definedName>
    <definedName name="外部資料_144" localSheetId="10">PKC!#REF!</definedName>
    <definedName name="外部資料_1440" localSheetId="1">財報紅綠燈!#REF!</definedName>
    <definedName name="外部資料_1441" localSheetId="1">財報紅綠燈!#REF!</definedName>
    <definedName name="外部資料_1443" localSheetId="1">財報紅綠燈!#REF!</definedName>
    <definedName name="外部資料_1444" localSheetId="1">財報紅綠燈!#REF!</definedName>
    <definedName name="外部資料_1445" localSheetId="1">財報紅綠燈!#REF!</definedName>
    <definedName name="外部資料_1447" localSheetId="1">財報紅綠燈!#REF!</definedName>
    <definedName name="外部資料_1448" localSheetId="1">財報紅綠燈!#REF!</definedName>
    <definedName name="外部資料_1449" localSheetId="1">財報紅綠燈!#REF!</definedName>
    <definedName name="外部資料_145" localSheetId="8">PKA!#REF!</definedName>
    <definedName name="外部資料_145" localSheetId="9">PKB!#REF!</definedName>
    <definedName name="外部資料_145" localSheetId="10">PKC!#REF!</definedName>
    <definedName name="外部資料_145" localSheetId="1">財報紅綠燈!#REF!</definedName>
    <definedName name="外部資料_1451" localSheetId="1">財報紅綠燈!#REF!</definedName>
    <definedName name="外部資料_1452" localSheetId="1">財報紅綠燈!#REF!</definedName>
    <definedName name="外部資料_1453" localSheetId="1">財報紅綠燈!#REF!</definedName>
    <definedName name="外部資料_1455" localSheetId="1">財報紅綠燈!#REF!</definedName>
    <definedName name="外部資料_1456" localSheetId="1">財報紅綠燈!#REF!</definedName>
    <definedName name="外部資料_1457" localSheetId="1">財報紅綠燈!#REF!</definedName>
    <definedName name="外部資料_1459" localSheetId="1">財報紅綠燈!#REF!</definedName>
    <definedName name="外部資料_146" localSheetId="8">PKA!#REF!</definedName>
    <definedName name="外部資料_146" localSheetId="9">PKB!#REF!</definedName>
    <definedName name="外部資料_146" localSheetId="10">PKC!#REF!</definedName>
    <definedName name="外部資料_146" localSheetId="1">財報紅綠燈!#REF!</definedName>
    <definedName name="外部資料_1460" localSheetId="1">財報紅綠燈!#REF!</definedName>
    <definedName name="外部資料_1461" localSheetId="1">財報紅綠燈!#REF!</definedName>
    <definedName name="外部資料_1463" localSheetId="1">財報紅綠燈!#REF!</definedName>
    <definedName name="外部資料_1464" localSheetId="1">財報紅綠燈!#REF!</definedName>
    <definedName name="外部資料_1465" localSheetId="1">財報紅綠燈!#REF!</definedName>
    <definedName name="外部資料_1467" localSheetId="1">財報紅綠燈!#REF!</definedName>
    <definedName name="外部資料_1468" localSheetId="1">財報紅綠燈!#REF!</definedName>
    <definedName name="外部資料_1469" localSheetId="1">財報紅綠燈!#REF!</definedName>
    <definedName name="外部資料_147" localSheetId="8">PKA!#REF!</definedName>
    <definedName name="外部資料_147" localSheetId="9">PKB!#REF!</definedName>
    <definedName name="外部資料_147" localSheetId="10">PKC!#REF!</definedName>
    <definedName name="外部資料_147" localSheetId="1">財報紅綠燈!#REF!</definedName>
    <definedName name="外部資料_1471" localSheetId="1">財報紅綠燈!#REF!</definedName>
    <definedName name="外部資料_1472" localSheetId="1">財報紅綠燈!#REF!</definedName>
    <definedName name="外部資料_1473" localSheetId="1">財報紅綠燈!#REF!</definedName>
    <definedName name="外部資料_1475" localSheetId="1">財報紅綠燈!#REF!</definedName>
    <definedName name="外部資料_1476" localSheetId="1">財報紅綠燈!#REF!</definedName>
    <definedName name="外部資料_1478" localSheetId="1">財報紅綠燈!#REF!</definedName>
    <definedName name="外部資料_1479" localSheetId="1">財報紅綠燈!#REF!</definedName>
    <definedName name="外部資料_148" localSheetId="8">PKA!#REF!</definedName>
    <definedName name="外部資料_148" localSheetId="9">PKB!#REF!</definedName>
    <definedName name="外部資料_148" localSheetId="10">PKC!#REF!</definedName>
    <definedName name="外部資料_1480" localSheetId="1">財報紅綠燈!#REF!</definedName>
    <definedName name="外部資料_1482" localSheetId="1">財報紅綠燈!#REF!</definedName>
    <definedName name="外部資料_1483" localSheetId="1">財報紅綠燈!#REF!</definedName>
    <definedName name="外部資料_1484" localSheetId="1">財報紅綠燈!#REF!</definedName>
    <definedName name="外部資料_1486" localSheetId="1">財報紅綠燈!#REF!</definedName>
    <definedName name="外部資料_1487" localSheetId="1">財報紅綠燈!#REF!</definedName>
    <definedName name="外部資料_1489" localSheetId="1">財報紅綠燈!#REF!</definedName>
    <definedName name="外部資料_149" localSheetId="8">PKA!#REF!</definedName>
    <definedName name="外部資料_149" localSheetId="9">PKB!#REF!</definedName>
    <definedName name="外部資料_149" localSheetId="10">PKC!#REF!</definedName>
    <definedName name="外部資料_149" localSheetId="1">財報紅綠燈!#REF!</definedName>
    <definedName name="外部資料_1490" localSheetId="1">財報紅綠燈!#REF!</definedName>
    <definedName name="外部資料_1491" localSheetId="1">財報紅綠燈!#REF!</definedName>
    <definedName name="外部資料_1493" localSheetId="1">財報紅綠燈!#REF!</definedName>
    <definedName name="外部資料_1494" localSheetId="1">財報紅綠燈!#REF!</definedName>
    <definedName name="外部資料_1495" localSheetId="1">財報紅綠燈!#REF!</definedName>
    <definedName name="外部資料_1497" localSheetId="1">財報紅綠燈!#REF!</definedName>
    <definedName name="外部資料_1498" localSheetId="1">財報紅綠燈!#REF!</definedName>
    <definedName name="外部資料_1499" localSheetId="1">財報紅綠燈!#REF!</definedName>
    <definedName name="外部資料_15" localSheetId="8">PKA!#REF!</definedName>
    <definedName name="外部資料_15" localSheetId="9">PKB!#REF!</definedName>
    <definedName name="外部資料_15" localSheetId="10">PKC!#REF!</definedName>
    <definedName name="外部資料_15" localSheetId="5">評比系統!#REF!</definedName>
    <definedName name="外部資料_15" localSheetId="3">篩股系統!#REF!</definedName>
    <definedName name="外部資料_150" localSheetId="8">PKA!#REF!</definedName>
    <definedName name="外部資料_150" localSheetId="9">PKB!#REF!</definedName>
    <definedName name="外部資料_150" localSheetId="10">PKC!#REF!</definedName>
    <definedName name="外部資料_150" localSheetId="1">財報紅綠燈!#REF!</definedName>
    <definedName name="外部資料_1501" localSheetId="1">財報紅綠燈!#REF!</definedName>
    <definedName name="外部資料_1502" localSheetId="1">財報紅綠燈!#REF!</definedName>
    <definedName name="外部資料_1504" localSheetId="1">財報紅綠燈!#REF!</definedName>
    <definedName name="外部資料_1505" localSheetId="1">財報紅綠燈!#REF!</definedName>
    <definedName name="外部資料_1506" localSheetId="1">財報紅綠燈!#REF!</definedName>
    <definedName name="外部資料_1508" localSheetId="1">財報紅綠燈!#REF!</definedName>
    <definedName name="外部資料_1509" localSheetId="1">財報紅綠燈!#REF!</definedName>
    <definedName name="外部資料_151" localSheetId="8">PKA!#REF!</definedName>
    <definedName name="外部資料_151" localSheetId="9">PKB!#REF!</definedName>
    <definedName name="外部資料_151" localSheetId="10">PKC!#REF!</definedName>
    <definedName name="外部資料_151" localSheetId="1">財報紅綠燈!#REF!</definedName>
    <definedName name="外部資料_1510" localSheetId="1">財報紅綠燈!#REF!</definedName>
    <definedName name="外部資料_1512" localSheetId="1">財報紅綠燈!#REF!</definedName>
    <definedName name="外部資料_1513" localSheetId="1">財報紅綠燈!#REF!</definedName>
    <definedName name="外部資料_1514" localSheetId="1">財報紅綠燈!#REF!</definedName>
    <definedName name="外部資料_1516" localSheetId="1">財報紅綠燈!#REF!</definedName>
    <definedName name="外部資料_1517" localSheetId="1">財報紅綠燈!#REF!</definedName>
    <definedName name="外部資料_1518" localSheetId="1">財報紅綠燈!#REF!</definedName>
    <definedName name="外部資料_152" localSheetId="8">PKA!#REF!</definedName>
    <definedName name="外部資料_152" localSheetId="9">PKB!#REF!</definedName>
    <definedName name="外部資料_152" localSheetId="10">PKC!#REF!</definedName>
    <definedName name="外部資料_1520" localSheetId="1">財報紅綠燈!#REF!</definedName>
    <definedName name="外部資料_1521" localSheetId="1">財報紅綠燈!#REF!</definedName>
    <definedName name="外部資料_1522" localSheetId="1">財報紅綠燈!#REF!</definedName>
    <definedName name="外部資料_1524" localSheetId="1">財報紅綠燈!#REF!</definedName>
    <definedName name="外部資料_1525" localSheetId="1">財報紅綠燈!#REF!</definedName>
    <definedName name="外部資料_1526" localSheetId="1">財報紅綠燈!#REF!</definedName>
    <definedName name="外部資料_1528" localSheetId="1">財報紅綠燈!#REF!</definedName>
    <definedName name="外部資料_1529" localSheetId="1">財報紅綠燈!#REF!</definedName>
    <definedName name="外部資料_153" localSheetId="8">PKA!#REF!</definedName>
    <definedName name="外部資料_153" localSheetId="9">PKB!#REF!</definedName>
    <definedName name="外部資料_153" localSheetId="10">PKC!#REF!</definedName>
    <definedName name="外部資料_153" localSheetId="1">財報紅綠燈!#REF!</definedName>
    <definedName name="外部資料_1530" localSheetId="1">財報紅綠燈!#REF!</definedName>
    <definedName name="外部資料_1532" localSheetId="1">財報紅綠燈!#REF!</definedName>
    <definedName name="外部資料_1533" localSheetId="1">財報紅綠燈!#REF!</definedName>
    <definedName name="外部資料_1534" localSheetId="1">財報紅綠燈!#REF!</definedName>
    <definedName name="外部資料_1536" localSheetId="1">財報紅綠燈!#REF!</definedName>
    <definedName name="外部資料_1537" localSheetId="1">財報紅綠燈!#REF!</definedName>
    <definedName name="外部資料_1538" localSheetId="1">財報紅綠燈!#REF!</definedName>
    <definedName name="外部資料_154" localSheetId="8">PKA!#REF!</definedName>
    <definedName name="外部資料_154" localSheetId="9">PKB!#REF!</definedName>
    <definedName name="外部資料_154" localSheetId="10">PKC!#REF!</definedName>
    <definedName name="外部資料_154" localSheetId="1">財報紅綠燈!#REF!</definedName>
    <definedName name="外部資料_1540" localSheetId="1">財報紅綠燈!#REF!</definedName>
    <definedName name="外部資料_1541" localSheetId="1">財報紅綠燈!#REF!</definedName>
    <definedName name="外部資料_1542" localSheetId="1">財報紅綠燈!#REF!</definedName>
    <definedName name="外部資料_1544" localSheetId="1">財報紅綠燈!#REF!</definedName>
    <definedName name="外部資料_1545" localSheetId="1">財報紅綠燈!#REF!</definedName>
    <definedName name="外部資料_1546" localSheetId="1">財報紅綠燈!#REF!</definedName>
    <definedName name="外部資料_1548" localSheetId="1">財報紅綠燈!#REF!</definedName>
    <definedName name="外部資料_1549" localSheetId="1">財報紅綠燈!#REF!</definedName>
    <definedName name="外部資料_155" localSheetId="8">PKA!#REF!</definedName>
    <definedName name="外部資料_155" localSheetId="9">PKB!#REF!</definedName>
    <definedName name="外部資料_155" localSheetId="10">PKC!#REF!</definedName>
    <definedName name="外部資料_155" localSheetId="1">財報紅綠燈!#REF!</definedName>
    <definedName name="外部資料_1550" localSheetId="1">財報紅綠燈!#REF!</definedName>
    <definedName name="外部資料_1552" localSheetId="1">財報紅綠燈!#REF!</definedName>
    <definedName name="外部資料_1553" localSheetId="1">財報紅綠燈!#REF!</definedName>
    <definedName name="外部資料_1554" localSheetId="1">財報紅綠燈!#REF!</definedName>
    <definedName name="外部資料_1556" localSheetId="1">財報紅綠燈!#REF!</definedName>
    <definedName name="外部資料_1557" localSheetId="1">財報紅綠燈!#REF!</definedName>
    <definedName name="外部資料_1558" localSheetId="1">財報紅綠燈!#REF!</definedName>
    <definedName name="外部資料_156" localSheetId="8">PKA!#REF!</definedName>
    <definedName name="外部資料_156" localSheetId="9">PKB!#REF!</definedName>
    <definedName name="外部資料_156" localSheetId="10">PKC!#REF!</definedName>
    <definedName name="外部資料_1560" localSheetId="1">財報紅綠燈!#REF!</definedName>
    <definedName name="外部資料_1561" localSheetId="1">財報紅綠燈!#REF!</definedName>
    <definedName name="外部資料_1562" localSheetId="1">財報紅綠燈!#REF!</definedName>
    <definedName name="外部資料_1564" localSheetId="1">財報紅綠燈!#REF!</definedName>
    <definedName name="外部資料_1565" localSheetId="1">財報紅綠燈!#REF!</definedName>
    <definedName name="外部資料_1566" localSheetId="1">財報紅綠燈!#REF!</definedName>
    <definedName name="外部資料_1568" localSheetId="1">財報紅綠燈!#REF!</definedName>
    <definedName name="外部資料_1569" localSheetId="1">財報紅綠燈!#REF!</definedName>
    <definedName name="外部資料_157" localSheetId="8">PKA!#REF!</definedName>
    <definedName name="外部資料_157" localSheetId="9">PKB!#REF!</definedName>
    <definedName name="外部資料_157" localSheetId="10">PKC!#REF!</definedName>
    <definedName name="外部資料_157" localSheetId="1">財報紅綠燈!#REF!</definedName>
    <definedName name="外部資料_1570" localSheetId="1">財報紅綠燈!#REF!</definedName>
    <definedName name="外部資料_1572" localSheetId="1">財報紅綠燈!#REF!</definedName>
    <definedName name="外部資料_1573" localSheetId="1">財報紅綠燈!#REF!</definedName>
    <definedName name="外部資料_1574" localSheetId="1">財報紅綠燈!#REF!</definedName>
    <definedName name="外部資料_1576" localSheetId="1">財報紅綠燈!#REF!</definedName>
    <definedName name="外部資料_1577" localSheetId="1">財報紅綠燈!#REF!</definedName>
    <definedName name="外部資料_1578" localSheetId="1">財報紅綠燈!#REF!</definedName>
    <definedName name="外部資料_158" localSheetId="8">PKA!#REF!</definedName>
    <definedName name="外部資料_158" localSheetId="9">PKB!#REF!</definedName>
    <definedName name="外部資料_158" localSheetId="10">PKC!#REF!</definedName>
    <definedName name="外部資料_158" localSheetId="1">財報紅綠燈!#REF!</definedName>
    <definedName name="外部資料_1580" localSheetId="1">財報紅綠燈!#REF!</definedName>
    <definedName name="外部資料_1581" localSheetId="1">財報紅綠燈!#REF!</definedName>
    <definedName name="外部資料_1582" localSheetId="1">財報紅綠燈!#REF!</definedName>
    <definedName name="外部資料_1584" localSheetId="1">財報紅綠燈!#REF!</definedName>
    <definedName name="外部資料_1585" localSheetId="1">財報紅綠燈!#REF!</definedName>
    <definedName name="外部資料_1586" localSheetId="1">財報紅綠燈!#REF!</definedName>
    <definedName name="外部資料_1588" localSheetId="1">財報紅綠燈!#REF!</definedName>
    <definedName name="外部資料_1589" localSheetId="1">財報紅綠燈!#REF!</definedName>
    <definedName name="外部資料_159" localSheetId="8">PKA!#REF!</definedName>
    <definedName name="外部資料_159" localSheetId="9">PKB!#REF!</definedName>
    <definedName name="外部資料_159" localSheetId="10">PKC!#REF!</definedName>
    <definedName name="外部資料_159" localSheetId="1">財報紅綠燈!#REF!</definedName>
    <definedName name="外部資料_1590" localSheetId="1">財報紅綠燈!#REF!</definedName>
    <definedName name="外部資料_1592" localSheetId="1">財報紅綠燈!#REF!</definedName>
    <definedName name="外部資料_1593" localSheetId="1">財報紅綠燈!#REF!</definedName>
    <definedName name="外部資料_1594" localSheetId="1">財報紅綠燈!#REF!</definedName>
    <definedName name="外部資料_1596" localSheetId="1">財報紅綠燈!#REF!</definedName>
    <definedName name="外部資料_1597" localSheetId="1">財報紅綠燈!#REF!</definedName>
    <definedName name="外部資料_1598" localSheetId="1">財報紅綠燈!#REF!</definedName>
    <definedName name="外部資料_16" localSheetId="8">PKA!#REF!</definedName>
    <definedName name="外部資料_16" localSheetId="9">PKB!#REF!</definedName>
    <definedName name="外部資料_16" localSheetId="10">PKC!#REF!</definedName>
    <definedName name="外部資料_16" localSheetId="1">財報紅綠燈!#REF!</definedName>
    <definedName name="外部資料_16" localSheetId="5">評比系統!#REF!</definedName>
    <definedName name="外部資料_16" localSheetId="3">篩股系統!#REF!</definedName>
    <definedName name="外部資料_160" localSheetId="8">PKA!#REF!</definedName>
    <definedName name="外部資料_160" localSheetId="9">PKB!#REF!</definedName>
    <definedName name="外部資料_160" localSheetId="10">PKC!#REF!</definedName>
    <definedName name="外部資料_1600" localSheetId="1">財報紅綠燈!#REF!</definedName>
    <definedName name="外部資料_1601" localSheetId="1">財報紅綠燈!#REF!</definedName>
    <definedName name="外部資料_1602" localSheetId="1">財報紅綠燈!#REF!</definedName>
    <definedName name="外部資料_1604" localSheetId="1">財報紅綠燈!#REF!</definedName>
    <definedName name="外部資料_1605" localSheetId="1">財報紅綠燈!#REF!</definedName>
    <definedName name="外部資料_1606" localSheetId="1">財報紅綠燈!#REF!</definedName>
    <definedName name="外部資料_1608" localSheetId="1">財報紅綠燈!#REF!</definedName>
    <definedName name="外部資料_1609" localSheetId="1">財報紅綠燈!#REF!</definedName>
    <definedName name="外部資料_161" localSheetId="8">PKA!#REF!</definedName>
    <definedName name="外部資料_161" localSheetId="9">PKB!#REF!</definedName>
    <definedName name="外部資料_161" localSheetId="10">PKC!#REF!</definedName>
    <definedName name="外部資料_161" localSheetId="1">財報紅綠燈!#REF!</definedName>
    <definedName name="外部資料_1610" localSheetId="1">財報紅綠燈!#REF!</definedName>
    <definedName name="外部資料_1612" localSheetId="1">財報紅綠燈!#REF!</definedName>
    <definedName name="外部資料_1613" localSheetId="1">財報紅綠燈!#REF!</definedName>
    <definedName name="外部資料_1614" localSheetId="1">財報紅綠燈!#REF!</definedName>
    <definedName name="外部資料_1616" localSheetId="1">財報紅綠燈!#REF!</definedName>
    <definedName name="外部資料_1617" localSheetId="1">財報紅綠燈!#REF!</definedName>
    <definedName name="外部資料_1618" localSheetId="1">財報紅綠燈!#REF!</definedName>
    <definedName name="外部資料_162" localSheetId="8">PKA!#REF!</definedName>
    <definedName name="外部資料_162" localSheetId="9">PKB!#REF!</definedName>
    <definedName name="外部資料_162" localSheetId="10">PKC!#REF!</definedName>
    <definedName name="外部資料_162" localSheetId="1">財報紅綠燈!#REF!</definedName>
    <definedName name="外部資料_1620" localSheetId="1">財報紅綠燈!#REF!</definedName>
    <definedName name="外部資料_1621" localSheetId="1">財報紅綠燈!#REF!</definedName>
    <definedName name="外部資料_1622" localSheetId="1">財報紅綠燈!#REF!</definedName>
    <definedName name="外部資料_1624" localSheetId="1">財報紅綠燈!#REF!</definedName>
    <definedName name="外部資料_1625" localSheetId="1">財報紅綠燈!#REF!</definedName>
    <definedName name="外部資料_1626" localSheetId="1">財報紅綠燈!#REF!</definedName>
    <definedName name="外部資料_1628" localSheetId="1">財報紅綠燈!#REF!</definedName>
    <definedName name="外部資料_1629" localSheetId="1">財報紅綠燈!#REF!</definedName>
    <definedName name="外部資料_163" localSheetId="8">PKA!#REF!</definedName>
    <definedName name="外部資料_163" localSheetId="9">PKB!#REF!</definedName>
    <definedName name="外部資料_163" localSheetId="10">PKC!#REF!</definedName>
    <definedName name="外部資料_163" localSheetId="1">財報紅綠燈!#REF!</definedName>
    <definedName name="外部資料_1630" localSheetId="1">財報紅綠燈!#REF!</definedName>
    <definedName name="外部資料_1632" localSheetId="1">財報紅綠燈!#REF!</definedName>
    <definedName name="外部資料_1633" localSheetId="1">財報紅綠燈!#REF!</definedName>
    <definedName name="外部資料_1634" localSheetId="1">財報紅綠燈!#REF!</definedName>
    <definedName name="外部資料_1636" localSheetId="1">財報紅綠燈!#REF!</definedName>
    <definedName name="外部資料_1637" localSheetId="1">財報紅綠燈!#REF!</definedName>
    <definedName name="外部資料_1638" localSheetId="1">財報紅綠燈!#REF!</definedName>
    <definedName name="外部資料_164" localSheetId="8">PKA!#REF!</definedName>
    <definedName name="外部資料_164" localSheetId="9">PKB!#REF!</definedName>
    <definedName name="外部資料_164" localSheetId="10">PKC!#REF!</definedName>
    <definedName name="外部資料_1640" localSheetId="1">財報紅綠燈!#REF!</definedName>
    <definedName name="外部資料_1641" localSheetId="1">財報紅綠燈!#REF!</definedName>
    <definedName name="外部資料_1642" localSheetId="1">財報紅綠燈!#REF!</definedName>
    <definedName name="外部資料_1644" localSheetId="1">財報紅綠燈!#REF!</definedName>
    <definedName name="外部資料_1645" localSheetId="1">財報紅綠燈!#REF!</definedName>
    <definedName name="外部資料_1646" localSheetId="1">財報紅綠燈!#REF!</definedName>
    <definedName name="外部資料_1648" localSheetId="1">財報紅綠燈!#REF!</definedName>
    <definedName name="外部資料_1649" localSheetId="1">財報紅綠燈!#REF!</definedName>
    <definedName name="外部資料_165" localSheetId="8">PKA!#REF!</definedName>
    <definedName name="外部資料_165" localSheetId="9">PKB!#REF!</definedName>
    <definedName name="外部資料_165" localSheetId="10">PKC!#REF!</definedName>
    <definedName name="外部資料_165" localSheetId="1">財報紅綠燈!#REF!</definedName>
    <definedName name="外部資料_1650" localSheetId="1">財報紅綠燈!#REF!</definedName>
    <definedName name="外部資料_1652" localSheetId="1">財報紅綠燈!#REF!</definedName>
    <definedName name="外部資料_1653" localSheetId="1">財報紅綠燈!#REF!</definedName>
    <definedName name="外部資料_1654" localSheetId="1">財報紅綠燈!#REF!</definedName>
    <definedName name="外部資料_1656" localSheetId="1">財報紅綠燈!#REF!</definedName>
    <definedName name="外部資料_1657" localSheetId="1">財報紅綠燈!#REF!</definedName>
    <definedName name="外部資料_1658" localSheetId="1">財報紅綠燈!#REF!</definedName>
    <definedName name="外部資料_166" localSheetId="8">PKA!#REF!</definedName>
    <definedName name="外部資料_166" localSheetId="9">PKB!#REF!</definedName>
    <definedName name="外部資料_166" localSheetId="10">PKC!#REF!</definedName>
    <definedName name="外部資料_166" localSheetId="1">財報紅綠燈!#REF!</definedName>
    <definedName name="外部資料_1660" localSheetId="1">財報紅綠燈!#REF!</definedName>
    <definedName name="外部資料_1661" localSheetId="1">財報紅綠燈!#REF!</definedName>
    <definedName name="外部資料_1662" localSheetId="1">財報紅綠燈!#REF!</definedName>
    <definedName name="外部資料_1664" localSheetId="1">財報紅綠燈!#REF!</definedName>
    <definedName name="外部資料_1665" localSheetId="1">財報紅綠燈!#REF!</definedName>
    <definedName name="外部資料_1666" localSheetId="1">財報紅綠燈!#REF!</definedName>
    <definedName name="外部資料_1668" localSheetId="1">財報紅綠燈!#REF!</definedName>
    <definedName name="外部資料_1669" localSheetId="1">財報紅綠燈!#REF!</definedName>
    <definedName name="外部資料_167" localSheetId="8">PKA!#REF!</definedName>
    <definedName name="外部資料_167" localSheetId="9">PKB!#REF!</definedName>
    <definedName name="外部資料_167" localSheetId="10">PKC!#REF!</definedName>
    <definedName name="外部資料_167" localSheetId="1">財報紅綠燈!#REF!</definedName>
    <definedName name="外部資料_1670" localSheetId="1">財報紅綠燈!#REF!</definedName>
    <definedName name="外部資料_1672" localSheetId="1">財報紅綠燈!#REF!</definedName>
    <definedName name="外部資料_1673" localSheetId="1">財報紅綠燈!#REF!</definedName>
    <definedName name="外部資料_1674" localSheetId="1">財報紅綠燈!#REF!</definedName>
    <definedName name="外部資料_1676" localSheetId="1">財報紅綠燈!#REF!</definedName>
    <definedName name="外部資料_1677" localSheetId="1">財報紅綠燈!#REF!</definedName>
    <definedName name="外部資料_1678" localSheetId="1">財報紅綠燈!#REF!</definedName>
    <definedName name="外部資料_168" localSheetId="8">PKA!#REF!</definedName>
    <definedName name="外部資料_168" localSheetId="9">PKB!#REF!</definedName>
    <definedName name="外部資料_168" localSheetId="10">PKC!#REF!</definedName>
    <definedName name="外部資料_1680" localSheetId="1">財報紅綠燈!#REF!</definedName>
    <definedName name="外部資料_1681" localSheetId="1">財報紅綠燈!#REF!</definedName>
    <definedName name="外部資料_1682" localSheetId="1">財報紅綠燈!#REF!</definedName>
    <definedName name="外部資料_1684" localSheetId="1">財報紅綠燈!#REF!</definedName>
    <definedName name="外部資料_1685" localSheetId="1">財報紅綠燈!#REF!</definedName>
    <definedName name="外部資料_1686" localSheetId="1">財報紅綠燈!#REF!</definedName>
    <definedName name="外部資料_1688" localSheetId="1">財報紅綠燈!#REF!</definedName>
    <definedName name="外部資料_1689" localSheetId="1">財報紅綠燈!#REF!</definedName>
    <definedName name="外部資料_169" localSheetId="8">PKA!#REF!</definedName>
    <definedName name="外部資料_169" localSheetId="9">PKB!#REF!</definedName>
    <definedName name="外部資料_169" localSheetId="10">PKC!#REF!</definedName>
    <definedName name="外部資料_169" localSheetId="1">財報紅綠燈!#REF!</definedName>
    <definedName name="外部資料_1690" localSheetId="1">財報紅綠燈!#REF!</definedName>
    <definedName name="外部資料_1692" localSheetId="1">財報紅綠燈!#REF!</definedName>
    <definedName name="外部資料_1693" localSheetId="1">財報紅綠燈!#REF!</definedName>
    <definedName name="外部資料_1695" localSheetId="1">財報紅綠燈!#REF!</definedName>
    <definedName name="外部資料_1696" localSheetId="1">財報紅綠燈!#REF!</definedName>
    <definedName name="外部資料_1697" localSheetId="1">財報紅綠燈!#REF!</definedName>
    <definedName name="外部資料_1699" localSheetId="1">財報紅綠燈!#REF!</definedName>
    <definedName name="外部資料_17" localSheetId="8">PKA!#REF!</definedName>
    <definedName name="外部資料_17" localSheetId="9">PKB!#REF!</definedName>
    <definedName name="外部資料_17" localSheetId="10">PKC!#REF!</definedName>
    <definedName name="外部資料_17" localSheetId="1">財報紅綠燈!#REF!</definedName>
    <definedName name="外部資料_17" localSheetId="5">評比系統!#REF!</definedName>
    <definedName name="外部資料_17" localSheetId="3">篩股系統!#REF!</definedName>
    <definedName name="外部資料_170" localSheetId="8">PKA!#REF!</definedName>
    <definedName name="外部資料_170" localSheetId="9">PKB!#REF!</definedName>
    <definedName name="外部資料_170" localSheetId="10">PKC!#REF!</definedName>
    <definedName name="外部資料_170" localSheetId="1">財報紅綠燈!#REF!</definedName>
    <definedName name="外部資料_1700" localSheetId="1">財報紅綠燈!#REF!</definedName>
    <definedName name="外部資料_1701" localSheetId="1">財報紅綠燈!#REF!</definedName>
    <definedName name="外部資料_1703" localSheetId="1">財報紅綠燈!#REF!</definedName>
    <definedName name="外部資料_1704" localSheetId="1">財報紅綠燈!#REF!</definedName>
    <definedName name="外部資料_1706" localSheetId="1">財報紅綠燈!#REF!</definedName>
    <definedName name="外部資料_1707" localSheetId="1">財報紅綠燈!#REF!</definedName>
    <definedName name="外部資料_1708" localSheetId="1">財報紅綠燈!#REF!</definedName>
    <definedName name="外部資料_171" localSheetId="8">PKA!#REF!</definedName>
    <definedName name="外部資料_171" localSheetId="9">PKB!#REF!</definedName>
    <definedName name="外部資料_171" localSheetId="10">PKC!#REF!</definedName>
    <definedName name="外部資料_171" localSheetId="1">財報紅綠燈!#REF!</definedName>
    <definedName name="外部資料_1710" localSheetId="1">財報紅綠燈!#REF!</definedName>
    <definedName name="外部資料_1711" localSheetId="1">財報紅綠燈!#REF!</definedName>
    <definedName name="外部資料_1712" localSheetId="1">財報紅綠燈!#REF!</definedName>
    <definedName name="外部資料_1714" localSheetId="1">財報紅綠燈!#REF!</definedName>
    <definedName name="外部資料_1715" localSheetId="1">財報紅綠燈!#REF!</definedName>
    <definedName name="外部資料_1716" localSheetId="1">財報紅綠燈!#REF!</definedName>
    <definedName name="外部資料_1718" localSheetId="1">財報紅綠燈!#REF!</definedName>
    <definedName name="外部資料_1719" localSheetId="1">財報紅綠燈!#REF!</definedName>
    <definedName name="外部資料_172" localSheetId="8">PKA!#REF!</definedName>
    <definedName name="外部資料_172" localSheetId="9">PKB!#REF!</definedName>
    <definedName name="外部資料_172" localSheetId="10">PKC!#REF!</definedName>
    <definedName name="外部資料_1720" localSheetId="1">財報紅綠燈!#REF!</definedName>
    <definedName name="外部資料_1722" localSheetId="1">財報紅綠燈!#REF!</definedName>
    <definedName name="外部資料_1723" localSheetId="1">財報紅綠燈!#REF!</definedName>
    <definedName name="外部資料_1724" localSheetId="1">財報紅綠燈!#REF!</definedName>
    <definedName name="外部資料_1726" localSheetId="1">財報紅綠燈!#REF!</definedName>
    <definedName name="外部資料_1727" localSheetId="1">財報紅綠燈!#REF!</definedName>
    <definedName name="外部資料_1729" localSheetId="1">財報紅綠燈!#REF!</definedName>
    <definedName name="外部資料_173" localSheetId="8">PKA!#REF!</definedName>
    <definedName name="外部資料_173" localSheetId="9">PKB!#REF!</definedName>
    <definedName name="外部資料_173" localSheetId="10">PKC!#REF!</definedName>
    <definedName name="外部資料_173" localSheetId="1">財報紅綠燈!#REF!</definedName>
    <definedName name="外部資料_1730" localSheetId="1">財報紅綠燈!#REF!</definedName>
    <definedName name="外部資料_1732" localSheetId="1">財報紅綠燈!#REF!</definedName>
    <definedName name="外部資料_1733" localSheetId="1">財報紅綠燈!#REF!</definedName>
    <definedName name="外部資料_1734" localSheetId="1">財報紅綠燈!#REF!</definedName>
    <definedName name="外部資料_1736" localSheetId="1">財報紅綠燈!#REF!</definedName>
    <definedName name="外部資料_1737" localSheetId="1">財報紅綠燈!#REF!</definedName>
    <definedName name="外部資料_1738" localSheetId="1">財報紅綠燈!#REF!</definedName>
    <definedName name="外部資料_174" localSheetId="8">PKA!#REF!</definedName>
    <definedName name="外部資料_174" localSheetId="9">PKB!#REF!</definedName>
    <definedName name="外部資料_174" localSheetId="10">PKC!#REF!</definedName>
    <definedName name="外部資料_174" localSheetId="1">財報紅綠燈!#REF!</definedName>
    <definedName name="外部資料_1740" localSheetId="1">財報紅綠燈!#REF!</definedName>
    <definedName name="外部資料_1741" localSheetId="1">財報紅綠燈!#REF!</definedName>
    <definedName name="外部資料_1742" localSheetId="1">財報紅綠燈!#REF!</definedName>
    <definedName name="外部資料_1744" localSheetId="1">財報紅綠燈!#REF!</definedName>
    <definedName name="外部資料_1745" localSheetId="1">財報紅綠燈!#REF!</definedName>
    <definedName name="外部資料_1746" localSheetId="1">財報紅綠燈!#REF!</definedName>
    <definedName name="外部資料_1748" localSheetId="1">財報紅綠燈!#REF!</definedName>
    <definedName name="外部資料_1749" localSheetId="1">財報紅綠燈!#REF!</definedName>
    <definedName name="外部資料_175" localSheetId="8">PKA!#REF!</definedName>
    <definedName name="外部資料_175" localSheetId="9">PKB!#REF!</definedName>
    <definedName name="外部資料_175" localSheetId="10">PKC!#REF!</definedName>
    <definedName name="外部資料_175" localSheetId="1">財報紅綠燈!#REF!</definedName>
    <definedName name="外部資料_1750" localSheetId="1">財報紅綠燈!#REF!</definedName>
    <definedName name="外部資料_1752" localSheetId="1">財報紅綠燈!#REF!</definedName>
    <definedName name="外部資料_1753" localSheetId="1">財報紅綠燈!#REF!</definedName>
    <definedName name="外部資料_1754" localSheetId="1">財報紅綠燈!#REF!</definedName>
    <definedName name="外部資料_1756" localSheetId="1">財報紅綠燈!#REF!</definedName>
    <definedName name="外部資料_1757" localSheetId="1">財報紅綠燈!#REF!</definedName>
    <definedName name="外部資料_1759" localSheetId="1">財報紅綠燈!#REF!</definedName>
    <definedName name="外部資料_176" localSheetId="8">PKA!#REF!</definedName>
    <definedName name="外部資料_176" localSheetId="9">PKB!#REF!</definedName>
    <definedName name="外部資料_176" localSheetId="10">PKC!#REF!</definedName>
    <definedName name="外部資料_1760" localSheetId="1">財報紅綠燈!#REF!</definedName>
    <definedName name="外部資料_1761" localSheetId="1">財報紅綠燈!#REF!</definedName>
    <definedName name="外部資料_1763" localSheetId="1">財報紅綠燈!#REF!</definedName>
    <definedName name="外部資料_1764" localSheetId="1">財報紅綠燈!#REF!</definedName>
    <definedName name="外部資料_1765" localSheetId="1">財報紅綠燈!#REF!</definedName>
    <definedName name="外部資料_1767" localSheetId="1">財報紅綠燈!#REF!</definedName>
    <definedName name="外部資料_1768" localSheetId="1">財報紅綠燈!#REF!</definedName>
    <definedName name="外部資料_1769" localSheetId="1">財報紅綠燈!#REF!</definedName>
    <definedName name="外部資料_177" localSheetId="8">PKA!#REF!</definedName>
    <definedName name="外部資料_177" localSheetId="9">PKB!#REF!</definedName>
    <definedName name="外部資料_177" localSheetId="10">PKC!#REF!</definedName>
    <definedName name="外部資料_177" localSheetId="1">財報紅綠燈!#REF!</definedName>
    <definedName name="外部資料_1771" localSheetId="1">財報紅綠燈!#REF!</definedName>
    <definedName name="外部資料_1772" localSheetId="1">財報紅綠燈!#REF!</definedName>
    <definedName name="外部資料_1773" localSheetId="1">財報紅綠燈!#REF!</definedName>
    <definedName name="外部資料_1775" localSheetId="1">財報紅綠燈!#REF!</definedName>
    <definedName name="外部資料_1776" localSheetId="1">財報紅綠燈!#REF!</definedName>
    <definedName name="外部資料_1777" localSheetId="1">財報紅綠燈!#REF!</definedName>
    <definedName name="外部資料_1779" localSheetId="1">財報紅綠燈!#REF!</definedName>
    <definedName name="外部資料_178" localSheetId="8">PKA!#REF!</definedName>
    <definedName name="外部資料_178" localSheetId="9">PKB!#REF!</definedName>
    <definedName name="外部資料_178" localSheetId="10">PKC!#REF!</definedName>
    <definedName name="外部資料_178" localSheetId="1">財報紅綠燈!#REF!</definedName>
    <definedName name="外部資料_1780" localSheetId="1">財報紅綠燈!#REF!</definedName>
    <definedName name="外部資料_1781" localSheetId="1">財報紅綠燈!#REF!</definedName>
    <definedName name="外部資料_1783" localSheetId="1">財報紅綠燈!#REF!</definedName>
    <definedName name="外部資料_1784" localSheetId="1">財報紅綠燈!#REF!</definedName>
    <definedName name="外部資料_1785" localSheetId="1">財報紅綠燈!#REF!</definedName>
    <definedName name="外部資料_1787" localSheetId="1">財報紅綠燈!#REF!</definedName>
    <definedName name="外部資料_1788" localSheetId="1">財報紅綠燈!#REF!</definedName>
    <definedName name="外部資料_1789" localSheetId="1">財報紅綠燈!#REF!</definedName>
    <definedName name="外部資料_179" localSheetId="8">PKA!#REF!</definedName>
    <definedName name="外部資料_179" localSheetId="9">PKB!#REF!</definedName>
    <definedName name="外部資料_179" localSheetId="10">PKC!#REF!</definedName>
    <definedName name="外部資料_179" localSheetId="1">財報紅綠燈!#REF!</definedName>
    <definedName name="外部資料_1791" localSheetId="1">財報紅綠燈!#REF!</definedName>
    <definedName name="外部資料_1792" localSheetId="1">財報紅綠燈!#REF!</definedName>
    <definedName name="外部資料_1793" localSheetId="1">財報紅綠燈!#REF!</definedName>
    <definedName name="外部資料_1795" localSheetId="1">財報紅綠燈!#REF!</definedName>
    <definedName name="外部資料_1796" localSheetId="1">財報紅綠燈!#REF!</definedName>
    <definedName name="外部資料_1797" localSheetId="1">財報紅綠燈!#REF!</definedName>
    <definedName name="外部資料_1799" localSheetId="1">財報紅綠燈!#REF!</definedName>
    <definedName name="外部資料_18" localSheetId="8">PKA!#REF!</definedName>
    <definedName name="外部資料_18" localSheetId="9">PKB!#REF!</definedName>
    <definedName name="外部資料_18" localSheetId="10">PKC!#REF!</definedName>
    <definedName name="外部資料_18" localSheetId="1">財報紅綠燈!#REF!</definedName>
    <definedName name="外部資料_18" localSheetId="5">評比系統!#REF!</definedName>
    <definedName name="外部資料_18" localSheetId="3">篩股系統!#REF!</definedName>
    <definedName name="外部資料_180" localSheetId="8">PKA!#REF!</definedName>
    <definedName name="外部資料_180" localSheetId="9">PKB!#REF!</definedName>
    <definedName name="外部資料_180" localSheetId="10">PKC!#REF!</definedName>
    <definedName name="外部資料_1800" localSheetId="1">財報紅綠燈!#REF!</definedName>
    <definedName name="外部資料_1801" localSheetId="1">財報紅綠燈!#REF!</definedName>
    <definedName name="外部資料_1803" localSheetId="1">財報紅綠燈!#REF!</definedName>
    <definedName name="外部資料_1804" localSheetId="1">財報紅綠燈!#REF!</definedName>
    <definedName name="外部資料_1805" localSheetId="1">財報紅綠燈!#REF!</definedName>
    <definedName name="外部資料_1807" localSheetId="1">財報紅綠燈!#REF!</definedName>
    <definedName name="外部資料_1808" localSheetId="1">財報紅綠燈!#REF!</definedName>
    <definedName name="外部資料_1809" localSheetId="1">財報紅綠燈!#REF!</definedName>
    <definedName name="外部資料_181" localSheetId="8">PKA!#REF!</definedName>
    <definedName name="外部資料_181" localSheetId="9">PKB!#REF!</definedName>
    <definedName name="外部資料_181" localSheetId="10">PKC!#REF!</definedName>
    <definedName name="外部資料_181" localSheetId="1">財報紅綠燈!#REF!</definedName>
    <definedName name="外部資料_1811" localSheetId="1">財報紅綠燈!#REF!</definedName>
    <definedName name="外部資料_1812" localSheetId="1">財報紅綠燈!#REF!</definedName>
    <definedName name="外部資料_1813" localSheetId="1">財報紅綠燈!#REF!</definedName>
    <definedName name="外部資料_1815" localSheetId="1">財報紅綠燈!#REF!</definedName>
    <definedName name="外部資料_1816" localSheetId="1">財報紅綠燈!#REF!</definedName>
    <definedName name="外部資料_1817" localSheetId="1">財報紅綠燈!#REF!</definedName>
    <definedName name="外部資料_1819" localSheetId="1">財報紅綠燈!#REF!</definedName>
    <definedName name="外部資料_182" localSheetId="8">PKA!#REF!</definedName>
    <definedName name="外部資料_182" localSheetId="9">PKB!#REF!</definedName>
    <definedName name="外部資料_182" localSheetId="10">PKC!#REF!</definedName>
    <definedName name="外部資料_182" localSheetId="1">財報紅綠燈!#REF!</definedName>
    <definedName name="外部資料_1820" localSheetId="1">財報紅綠燈!#REF!</definedName>
    <definedName name="外部資料_1821" localSheetId="1">財報紅綠燈!#REF!</definedName>
    <definedName name="外部資料_1823" localSheetId="1">財報紅綠燈!#REF!</definedName>
    <definedName name="外部資料_1824" localSheetId="1">財報紅綠燈!#REF!</definedName>
    <definedName name="外部資料_1825" localSheetId="1">財報紅綠燈!#REF!</definedName>
    <definedName name="外部資料_1827" localSheetId="1">財報紅綠燈!#REF!</definedName>
    <definedName name="外部資料_1828" localSheetId="1">財報紅綠燈!#REF!</definedName>
    <definedName name="外部資料_1829" localSheetId="1">財報紅綠燈!#REF!</definedName>
    <definedName name="外部資料_183" localSheetId="8">PKA!#REF!</definedName>
    <definedName name="外部資料_183" localSheetId="9">PKB!#REF!</definedName>
    <definedName name="外部資料_183" localSheetId="10">PKC!#REF!</definedName>
    <definedName name="外部資料_183" localSheetId="1">財報紅綠燈!#REF!</definedName>
    <definedName name="外部資料_1831" localSheetId="1">財報紅綠燈!#REF!</definedName>
    <definedName name="外部資料_1832" localSheetId="1">財報紅綠燈!#REF!</definedName>
    <definedName name="外部資料_1833" localSheetId="1">財報紅綠燈!#REF!</definedName>
    <definedName name="外部資料_1835" localSheetId="1">財報紅綠燈!#REF!</definedName>
    <definedName name="外部資料_1836" localSheetId="1">財報紅綠燈!#REF!</definedName>
    <definedName name="外部資料_1837" localSheetId="1">財報紅綠燈!#REF!</definedName>
    <definedName name="外部資料_1839" localSheetId="1">財報紅綠燈!#REF!</definedName>
    <definedName name="外部資料_184" localSheetId="8">PKA!#REF!</definedName>
    <definedName name="外部資料_184" localSheetId="9">PKB!#REF!</definedName>
    <definedName name="外部資料_184" localSheetId="10">PKC!#REF!</definedName>
    <definedName name="外部資料_1840" localSheetId="1">財報紅綠燈!#REF!</definedName>
    <definedName name="外部資料_1841" localSheetId="1">財報紅綠燈!#REF!</definedName>
    <definedName name="外部資料_1843" localSheetId="1">財報紅綠燈!#REF!</definedName>
    <definedName name="外部資料_1844" localSheetId="1">財報紅綠燈!#REF!</definedName>
    <definedName name="外部資料_1845" localSheetId="1">財報紅綠燈!#REF!</definedName>
    <definedName name="外部資料_1847" localSheetId="1">財報紅綠燈!#REF!</definedName>
    <definedName name="外部資料_1848" localSheetId="1">財報紅綠燈!#REF!</definedName>
    <definedName name="外部資料_1849" localSheetId="1">財報紅綠燈!#REF!</definedName>
    <definedName name="外部資料_185" localSheetId="8">PKA!#REF!</definedName>
    <definedName name="外部資料_185" localSheetId="9">PKB!#REF!</definedName>
    <definedName name="外部資料_185" localSheetId="10">PKC!#REF!</definedName>
    <definedName name="外部資料_185" localSheetId="1">財報紅綠燈!#REF!</definedName>
    <definedName name="外部資料_1851" localSheetId="1">財報紅綠燈!#REF!</definedName>
    <definedName name="外部資料_1852" localSheetId="1">財報紅綠燈!#REF!</definedName>
    <definedName name="外部資料_1853" localSheetId="1">財報紅綠燈!#REF!</definedName>
    <definedName name="外部資料_1855" localSheetId="1">財報紅綠燈!#REF!</definedName>
    <definedName name="外部資料_1856" localSheetId="1">財報紅綠燈!#REF!</definedName>
    <definedName name="外部資料_1857" localSheetId="1">財報紅綠燈!#REF!</definedName>
    <definedName name="外部資料_1859" localSheetId="1">財報紅綠燈!#REF!</definedName>
    <definedName name="外部資料_186" localSheetId="8">PKA!#REF!</definedName>
    <definedName name="外部資料_186" localSheetId="9">PKB!#REF!</definedName>
    <definedName name="外部資料_186" localSheetId="10">PKC!#REF!</definedName>
    <definedName name="外部資料_186" localSheetId="1">財報紅綠燈!#REF!</definedName>
    <definedName name="外部資料_1860" localSheetId="1">財報紅綠燈!#REF!</definedName>
    <definedName name="外部資料_1861" localSheetId="1">財報紅綠燈!#REF!</definedName>
    <definedName name="外部資料_1863" localSheetId="1">財報紅綠燈!#REF!</definedName>
    <definedName name="外部資料_1864" localSheetId="1">財報紅綠燈!#REF!</definedName>
    <definedName name="外部資料_1865" localSheetId="1">財報紅綠燈!#REF!</definedName>
    <definedName name="外部資料_1867" localSheetId="1">財報紅綠燈!#REF!</definedName>
    <definedName name="外部資料_1868" localSheetId="1">財報紅綠燈!#REF!</definedName>
    <definedName name="外部資料_1869" localSheetId="1">財報紅綠燈!#REF!</definedName>
    <definedName name="外部資料_187" localSheetId="8">PKA!#REF!</definedName>
    <definedName name="外部資料_187" localSheetId="9">PKB!#REF!</definedName>
    <definedName name="外部資料_187" localSheetId="10">PKC!#REF!</definedName>
    <definedName name="外部資料_187" localSheetId="1">財報紅綠燈!#REF!</definedName>
    <definedName name="外部資料_1871" localSheetId="1">財報紅綠燈!#REF!</definedName>
    <definedName name="外部資料_1872" localSheetId="1">財報紅綠燈!#REF!</definedName>
    <definedName name="外部資料_1873" localSheetId="1">財報紅綠燈!#REF!</definedName>
    <definedName name="外部資料_1875" localSheetId="1">財報紅綠燈!#REF!</definedName>
    <definedName name="外部資料_1876" localSheetId="1">財報紅綠燈!#REF!</definedName>
    <definedName name="外部資料_1877" localSheetId="1">財報紅綠燈!#REF!</definedName>
    <definedName name="外部資料_1879" localSheetId="1">財報紅綠燈!#REF!</definedName>
    <definedName name="外部資料_188" localSheetId="8">PKA!#REF!</definedName>
    <definedName name="外部資料_188" localSheetId="9">PKB!#REF!</definedName>
    <definedName name="外部資料_188" localSheetId="10">PKC!#REF!</definedName>
    <definedName name="外部資料_1880" localSheetId="1">財報紅綠燈!#REF!</definedName>
    <definedName name="外部資料_1881" localSheetId="1">財報紅綠燈!#REF!</definedName>
    <definedName name="外部資料_1883" localSheetId="1">財報紅綠燈!#REF!</definedName>
    <definedName name="外部資料_1884" localSheetId="1">財報紅綠燈!#REF!</definedName>
    <definedName name="外部資料_1885" localSheetId="1">財報紅綠燈!#REF!</definedName>
    <definedName name="外部資料_1887" localSheetId="1">財報紅綠燈!#REF!</definedName>
    <definedName name="外部資料_1888" localSheetId="1">財報紅綠燈!#REF!</definedName>
    <definedName name="外部資料_1889" localSheetId="1">財報紅綠燈!#REF!</definedName>
    <definedName name="外部資料_189" localSheetId="8">PKA!#REF!</definedName>
    <definedName name="外部資料_189" localSheetId="9">PKB!#REF!</definedName>
    <definedName name="外部資料_189" localSheetId="10">PKC!#REF!</definedName>
    <definedName name="外部資料_189" localSheetId="1">財報紅綠燈!#REF!</definedName>
    <definedName name="外部資料_1891" localSheetId="1">財報紅綠燈!#REF!</definedName>
    <definedName name="外部資料_1892" localSheetId="1">財報紅綠燈!#REF!</definedName>
    <definedName name="外部資料_1893" localSheetId="1">財報紅綠燈!#REF!</definedName>
    <definedName name="外部資料_1895" localSheetId="1">財報紅綠燈!#REF!</definedName>
    <definedName name="外部資料_1896" localSheetId="1">財報紅綠燈!#REF!</definedName>
    <definedName name="外部資料_1897" localSheetId="1">財報紅綠燈!#REF!</definedName>
    <definedName name="外部資料_1899" localSheetId="1">財報紅綠燈!#REF!</definedName>
    <definedName name="外部資料_19" localSheetId="8">PKA!#REF!</definedName>
    <definedName name="外部資料_19" localSheetId="9">PKB!#REF!</definedName>
    <definedName name="外部資料_19" localSheetId="10">PKC!#REF!</definedName>
    <definedName name="外部資料_19" localSheetId="5">評比系統!#REF!</definedName>
    <definedName name="外部資料_19" localSheetId="3">篩股系統!#REF!</definedName>
    <definedName name="外部資料_190" localSheetId="8">PKA!#REF!</definedName>
    <definedName name="外部資料_190" localSheetId="9">PKB!#REF!</definedName>
    <definedName name="外部資料_190" localSheetId="10">PKC!#REF!</definedName>
    <definedName name="外部資料_190" localSheetId="1">財報紅綠燈!#REF!</definedName>
    <definedName name="外部資料_1900" localSheetId="1">財報紅綠燈!#REF!</definedName>
    <definedName name="外部資料_1901" localSheetId="1">財報紅綠燈!#REF!</definedName>
    <definedName name="外部資料_1903" localSheetId="1">財報紅綠燈!#REF!</definedName>
    <definedName name="外部資料_1904" localSheetId="1">財報紅綠燈!#REF!</definedName>
    <definedName name="外部資料_1905" localSheetId="1">財報紅綠燈!#REF!</definedName>
    <definedName name="外部資料_1907" localSheetId="1">財報紅綠燈!#REF!</definedName>
    <definedName name="外部資料_1908" localSheetId="1">財報紅綠燈!#REF!</definedName>
    <definedName name="外部資料_1909" localSheetId="1">財報紅綠燈!#REF!</definedName>
    <definedName name="外部資料_191" localSheetId="8">PKA!#REF!</definedName>
    <definedName name="外部資料_191" localSheetId="9">PKB!#REF!</definedName>
    <definedName name="外部資料_191" localSheetId="10">PKC!#REF!</definedName>
    <definedName name="外部資料_191" localSheetId="1">財報紅綠燈!#REF!</definedName>
    <definedName name="外部資料_1911" localSheetId="1">財報紅綠燈!#REF!</definedName>
    <definedName name="外部資料_1912" localSheetId="1">財報紅綠燈!#REF!</definedName>
    <definedName name="外部資料_1914" localSheetId="1">財報紅綠燈!#REF!</definedName>
    <definedName name="外部資料_1915" localSheetId="1">財報紅綠燈!#REF!</definedName>
    <definedName name="外部資料_1917" localSheetId="1">財報紅綠燈!#REF!</definedName>
    <definedName name="外部資料_1918" localSheetId="1">財報紅綠燈!#REF!</definedName>
    <definedName name="外部資料_1919" localSheetId="1">財報紅綠燈!#REF!</definedName>
    <definedName name="外部資料_192" localSheetId="8">PKA!#REF!</definedName>
    <definedName name="外部資料_192" localSheetId="9">PKB!#REF!</definedName>
    <definedName name="外部資料_192" localSheetId="10">PKC!#REF!</definedName>
    <definedName name="外部資料_1921" localSheetId="1">財報紅綠燈!#REF!</definedName>
    <definedName name="外部資料_1922" localSheetId="1">財報紅綠燈!#REF!</definedName>
    <definedName name="外部資料_1923" localSheetId="1">財報紅綠燈!#REF!</definedName>
    <definedName name="外部資料_1925" localSheetId="1">財報紅綠燈!#REF!</definedName>
    <definedName name="外部資料_1926" localSheetId="1">財報紅綠燈!#REF!</definedName>
    <definedName name="外部資料_1927" localSheetId="1">財報紅綠燈!#REF!</definedName>
    <definedName name="外部資料_1929" localSheetId="1">財報紅綠燈!#REF!</definedName>
    <definedName name="外部資料_193" localSheetId="8">PKA!#REF!</definedName>
    <definedName name="外部資料_193" localSheetId="9">PKB!#REF!</definedName>
    <definedName name="外部資料_193" localSheetId="10">PKC!#REF!</definedName>
    <definedName name="外部資料_193" localSheetId="1">財報紅綠燈!#REF!</definedName>
    <definedName name="外部資料_1930" localSheetId="1">財報紅綠燈!#REF!</definedName>
    <definedName name="外部資料_1931" localSheetId="1">財報紅綠燈!#REF!</definedName>
    <definedName name="外部資料_1933" localSheetId="1">財報紅綠燈!#REF!</definedName>
    <definedName name="外部資料_1934" localSheetId="1">財報紅綠燈!#REF!</definedName>
    <definedName name="外部資料_1935" localSheetId="1">財報紅綠燈!#REF!</definedName>
    <definedName name="外部資料_1937" localSheetId="1">財報紅綠燈!#REF!</definedName>
    <definedName name="外部資料_1938" localSheetId="1">財報紅綠燈!#REF!</definedName>
    <definedName name="外部資料_1939" localSheetId="1">財報紅綠燈!#REF!</definedName>
    <definedName name="外部資料_194" localSheetId="8">PKA!#REF!</definedName>
    <definedName name="外部資料_194" localSheetId="9">PKB!#REF!</definedName>
    <definedName name="外部資料_194" localSheetId="10">PKC!#REF!</definedName>
    <definedName name="外部資料_194" localSheetId="1">財報紅綠燈!#REF!</definedName>
    <definedName name="外部資料_1941" localSheetId="1">財報紅綠燈!#REF!</definedName>
    <definedName name="外部資料_1942" localSheetId="1">財報紅綠燈!#REF!</definedName>
    <definedName name="外部資料_1943" localSheetId="1">財報紅綠燈!#REF!</definedName>
    <definedName name="外部資料_1945" localSheetId="1">財報紅綠燈!#REF!</definedName>
    <definedName name="外部資料_1946" localSheetId="1">財報紅綠燈!#REF!</definedName>
    <definedName name="外部資料_1947" localSheetId="1">財報紅綠燈!#REF!</definedName>
    <definedName name="外部資料_1949" localSheetId="1">財報紅綠燈!#REF!</definedName>
    <definedName name="外部資料_195" localSheetId="8">PKA!#REF!</definedName>
    <definedName name="外部資料_195" localSheetId="9">PKB!#REF!</definedName>
    <definedName name="外部資料_195" localSheetId="10">PKC!#REF!</definedName>
    <definedName name="外部資料_1950" localSheetId="1">財報紅綠燈!#REF!</definedName>
    <definedName name="外部資料_1951" localSheetId="1">財報紅綠燈!#REF!</definedName>
    <definedName name="外部資料_1953" localSheetId="1">財報紅綠燈!#REF!</definedName>
    <definedName name="外部資料_1954" localSheetId="1">財報紅綠燈!#REF!</definedName>
    <definedName name="外部資料_1956" localSheetId="1">財報紅綠燈!#REF!</definedName>
    <definedName name="外部資料_1957" localSheetId="1">財報紅綠燈!#REF!</definedName>
    <definedName name="外部資料_1958" localSheetId="1">財報紅綠燈!#REF!</definedName>
    <definedName name="外部資料_196" localSheetId="8">PKA!#REF!</definedName>
    <definedName name="外部資料_196" localSheetId="9">PKB!#REF!</definedName>
    <definedName name="外部資料_196" localSheetId="10">PKC!#REF!</definedName>
    <definedName name="外部資料_196" localSheetId="1">財報紅綠燈!#REF!</definedName>
    <definedName name="外部資料_1960" localSheetId="1">財報紅綠燈!#REF!</definedName>
    <definedName name="外部資料_1961" localSheetId="1">財報紅綠燈!#REF!</definedName>
    <definedName name="外部資料_1962" localSheetId="1">財報紅綠燈!#REF!</definedName>
    <definedName name="外部資料_1964" localSheetId="1">財報紅綠燈!#REF!</definedName>
    <definedName name="外部資料_1965" localSheetId="1">財報紅綠燈!#REF!</definedName>
    <definedName name="外部資料_1966" localSheetId="1">財報紅綠燈!#REF!</definedName>
    <definedName name="外部資料_1968" localSheetId="1">財報紅綠燈!#REF!</definedName>
    <definedName name="外部資料_1969" localSheetId="1">財報紅綠燈!#REF!</definedName>
    <definedName name="外部資料_197" localSheetId="8">PKA!#REF!</definedName>
    <definedName name="外部資料_197" localSheetId="9">PKB!#REF!</definedName>
    <definedName name="外部資料_197" localSheetId="10">PKC!#REF!</definedName>
    <definedName name="外部資料_197" localSheetId="1">財報紅綠燈!#REF!</definedName>
    <definedName name="外部資料_1970" localSheetId="1">財報紅綠燈!#REF!</definedName>
    <definedName name="外部資料_1972" localSheetId="1">財報紅綠燈!#REF!</definedName>
    <definedName name="外部資料_1973" localSheetId="1">財報紅綠燈!#REF!</definedName>
    <definedName name="外部資料_1974" localSheetId="1">財報紅綠燈!#REF!</definedName>
    <definedName name="外部資料_1976" localSheetId="1">財報紅綠燈!#REF!</definedName>
    <definedName name="外部資料_1977" localSheetId="1">財報紅綠燈!#REF!</definedName>
    <definedName name="外部資料_1978" localSheetId="1">財報紅綠燈!#REF!</definedName>
    <definedName name="外部資料_198" localSheetId="8">PKA!#REF!</definedName>
    <definedName name="外部資料_198" localSheetId="9">PKB!#REF!</definedName>
    <definedName name="外部資料_198" localSheetId="10">PKC!#REF!</definedName>
    <definedName name="外部資料_198" localSheetId="1">財報紅綠燈!#REF!</definedName>
    <definedName name="外部資料_1980" localSheetId="1">財報紅綠燈!#REF!</definedName>
    <definedName name="外部資料_1981" localSheetId="1">財報紅綠燈!#REF!</definedName>
    <definedName name="外部資料_1982" localSheetId="1">財報紅綠燈!#REF!</definedName>
    <definedName name="外部資料_1984" localSheetId="1">財報紅綠燈!#REF!</definedName>
    <definedName name="外部資料_1985" localSheetId="1">財報紅綠燈!#REF!</definedName>
    <definedName name="外部資料_1986" localSheetId="1">財報紅綠燈!#REF!</definedName>
    <definedName name="外部資料_1988" localSheetId="1">財報紅綠燈!#REF!</definedName>
    <definedName name="外部資料_1989" localSheetId="1">財報紅綠燈!#REF!</definedName>
    <definedName name="外部資料_199" localSheetId="8">PKA!#REF!</definedName>
    <definedName name="外部資料_199" localSheetId="9">PKB!#REF!</definedName>
    <definedName name="外部資料_199" localSheetId="10">PKC!#REF!</definedName>
    <definedName name="外部資料_1990" localSheetId="1">財報紅綠燈!#REF!</definedName>
    <definedName name="外部資料_1992" localSheetId="1">財報紅綠燈!#REF!</definedName>
    <definedName name="外部資料_1993" localSheetId="1">財報紅綠燈!#REF!</definedName>
    <definedName name="外部資料_1994" localSheetId="1">財報紅綠燈!#REF!</definedName>
    <definedName name="外部資料_1996" localSheetId="1">財報紅綠燈!#REF!</definedName>
    <definedName name="外部資料_1997" localSheetId="1">財報紅綠燈!#REF!</definedName>
    <definedName name="外部資料_1998" localSheetId="1">財報紅綠燈!#REF!</definedName>
    <definedName name="外部資料_2" localSheetId="8">PKA!#REF!</definedName>
    <definedName name="外部資料_2" localSheetId="9">PKB!#REF!</definedName>
    <definedName name="外部資料_2" localSheetId="10">PKC!#REF!</definedName>
    <definedName name="外部資料_2" localSheetId="11">PRICE!#REF!</definedName>
    <definedName name="外部資料_2" localSheetId="1">財報紅綠燈!#REF!</definedName>
    <definedName name="外部資料_2" localSheetId="5">評比系統!#REF!</definedName>
    <definedName name="外部資料_2" localSheetId="3">篩股系統!#REF!</definedName>
    <definedName name="外部資料_20" localSheetId="8">PKA!#REF!</definedName>
    <definedName name="外部資料_20" localSheetId="9">PKB!#REF!</definedName>
    <definedName name="外部資料_20" localSheetId="10">PKC!#REF!</definedName>
    <definedName name="外部資料_20" localSheetId="1">財報紅綠燈!#REF!</definedName>
    <definedName name="外部資料_20" localSheetId="5">評比系統!#REF!</definedName>
    <definedName name="外部資料_20" localSheetId="3">篩股系統!#REF!</definedName>
    <definedName name="外部資料_200" localSheetId="8">PKA!#REF!</definedName>
    <definedName name="外部資料_200" localSheetId="9">PKB!#REF!</definedName>
    <definedName name="外部資料_200" localSheetId="10">PKC!#REF!</definedName>
    <definedName name="外部資料_200" localSheetId="1">財報紅綠燈!#REF!</definedName>
    <definedName name="外部資料_2000" localSheetId="1">財報紅綠燈!#REF!</definedName>
    <definedName name="外部資料_2001" localSheetId="1">財報紅綠燈!#REF!</definedName>
    <definedName name="外部資料_2002" localSheetId="1">財報紅綠燈!#REF!</definedName>
    <definedName name="外部資料_2004" localSheetId="1">財報紅綠燈!#REF!</definedName>
    <definedName name="外部資料_2005" localSheetId="1">財報紅綠燈!#REF!</definedName>
    <definedName name="外部資料_2006" localSheetId="1">財報紅綠燈!#REF!</definedName>
    <definedName name="外部資料_2008" localSheetId="1">財報紅綠燈!#REF!</definedName>
    <definedName name="外部資料_2009" localSheetId="1">財報紅綠燈!#REF!</definedName>
    <definedName name="外部資料_201" localSheetId="8">PKA!#REF!</definedName>
    <definedName name="外部資料_201" localSheetId="9">PKB!#REF!</definedName>
    <definedName name="外部資料_201" localSheetId="10">PKC!#REF!</definedName>
    <definedName name="外部資料_201" localSheetId="1">財報紅綠燈!#REF!</definedName>
    <definedName name="外部資料_2010" localSheetId="1">財報紅綠燈!#REF!</definedName>
    <definedName name="外部資料_2012" localSheetId="1">財報紅綠燈!#REF!</definedName>
    <definedName name="外部資料_2013" localSheetId="1">財報紅綠燈!#REF!</definedName>
    <definedName name="外部資料_2014" localSheetId="1">財報紅綠燈!#REF!</definedName>
    <definedName name="外部資料_2016" localSheetId="1">財報紅綠燈!#REF!</definedName>
    <definedName name="外部資料_2017" localSheetId="1">財報紅綠燈!#REF!</definedName>
    <definedName name="外部資料_2018" localSheetId="1">財報紅綠燈!#REF!</definedName>
    <definedName name="外部資料_202" localSheetId="8">PKA!#REF!</definedName>
    <definedName name="外部資料_202" localSheetId="9">PKB!#REF!</definedName>
    <definedName name="外部資料_202" localSheetId="10">PKC!#REF!</definedName>
    <definedName name="外部資料_202" localSheetId="1">財報紅綠燈!#REF!</definedName>
    <definedName name="外部資料_2020" localSheetId="1">財報紅綠燈!#REF!</definedName>
    <definedName name="外部資料_2021" localSheetId="1">財報紅綠燈!#REF!</definedName>
    <definedName name="外部資料_2022" localSheetId="1">財報紅綠燈!#REF!</definedName>
    <definedName name="外部資料_2024" localSheetId="1">財報紅綠燈!#REF!</definedName>
    <definedName name="外部資料_2025" localSheetId="1">財報紅綠燈!#REF!</definedName>
    <definedName name="外部資料_2026" localSheetId="1">財報紅綠燈!#REF!</definedName>
    <definedName name="外部資料_2028" localSheetId="1">財報紅綠燈!#REF!</definedName>
    <definedName name="外部資料_2029" localSheetId="1">財報紅綠燈!#REF!</definedName>
    <definedName name="外部資料_203" localSheetId="8">PKA!#REF!</definedName>
    <definedName name="外部資料_203" localSheetId="9">PKB!#REF!</definedName>
    <definedName name="外部資料_203" localSheetId="10">PKC!#REF!</definedName>
    <definedName name="外部資料_2030" localSheetId="1">財報紅綠燈!#REF!</definedName>
    <definedName name="外部資料_2032" localSheetId="1">財報紅綠燈!#REF!</definedName>
    <definedName name="外部資料_2033" localSheetId="1">財報紅綠燈!#REF!</definedName>
    <definedName name="外部資料_2034" localSheetId="1">財報紅綠燈!#REF!</definedName>
    <definedName name="外部資料_2036" localSheetId="1">財報紅綠燈!#REF!</definedName>
    <definedName name="外部資料_2037" localSheetId="1">財報紅綠燈!#REF!</definedName>
    <definedName name="外部資料_2038" localSheetId="1">財報紅綠燈!#REF!</definedName>
    <definedName name="外部資料_204" localSheetId="8">PKA!#REF!</definedName>
    <definedName name="外部資料_204" localSheetId="9">PKB!#REF!</definedName>
    <definedName name="外部資料_204" localSheetId="10">PKC!#REF!</definedName>
    <definedName name="外部資料_204" localSheetId="1">財報紅綠燈!#REF!</definedName>
    <definedName name="外部資料_2040" localSheetId="1">財報紅綠燈!#REF!</definedName>
    <definedName name="外部資料_2041" localSheetId="1">財報紅綠燈!#REF!</definedName>
    <definedName name="外部資料_2042" localSheetId="1">財報紅綠燈!#REF!</definedName>
    <definedName name="外部資料_2044" localSheetId="1">財報紅綠燈!#REF!</definedName>
    <definedName name="外部資料_2045" localSheetId="1">財報紅綠燈!#REF!</definedName>
    <definedName name="外部資料_2046" localSheetId="1">財報紅綠燈!#REF!</definedName>
    <definedName name="外部資料_2048" localSheetId="1">財報紅綠燈!#REF!</definedName>
    <definedName name="外部資料_2049" localSheetId="1">財報紅綠燈!#REF!</definedName>
    <definedName name="外部資料_205" localSheetId="8">PKA!#REF!</definedName>
    <definedName name="外部資料_205" localSheetId="9">PKB!#REF!</definedName>
    <definedName name="外部資料_205" localSheetId="10">PKC!#REF!</definedName>
    <definedName name="外部資料_205" localSheetId="1">財報紅綠燈!#REF!</definedName>
    <definedName name="外部資料_2050" localSheetId="1">財報紅綠燈!#REF!</definedName>
    <definedName name="外部資料_2052" localSheetId="1">財報紅綠燈!#REF!</definedName>
    <definedName name="外部資料_2053" localSheetId="1">財報紅綠燈!#REF!</definedName>
    <definedName name="外部資料_2054" localSheetId="1">財報紅綠燈!#REF!</definedName>
    <definedName name="外部資料_2056" localSheetId="1">財報紅綠燈!#REF!</definedName>
    <definedName name="外部資料_2057" localSheetId="1">財報紅綠燈!#REF!</definedName>
    <definedName name="外部資料_2058" localSheetId="1">財報紅綠燈!#REF!</definedName>
    <definedName name="外部資料_206" localSheetId="8">PKA!#REF!</definedName>
    <definedName name="外部資料_206" localSheetId="9">PKB!#REF!</definedName>
    <definedName name="外部資料_206" localSheetId="10">PKC!#REF!</definedName>
    <definedName name="外部資料_206" localSheetId="1">財報紅綠燈!#REF!</definedName>
    <definedName name="外部資料_2060" localSheetId="1">財報紅綠燈!#REF!</definedName>
    <definedName name="外部資料_2061" localSheetId="1">財報紅綠燈!#REF!</definedName>
    <definedName name="外部資料_2062" localSheetId="1">財報紅綠燈!#REF!</definedName>
    <definedName name="外部資料_2064" localSheetId="1">財報紅綠燈!#REF!</definedName>
    <definedName name="外部資料_2065" localSheetId="1">財報紅綠燈!#REF!</definedName>
    <definedName name="外部資料_2066" localSheetId="1">財報紅綠燈!#REF!</definedName>
    <definedName name="外部資料_2068" localSheetId="1">財報紅綠燈!#REF!</definedName>
    <definedName name="外部資料_2069" localSheetId="1">財報紅綠燈!#REF!</definedName>
    <definedName name="外部資料_207" localSheetId="8">PKA!#REF!</definedName>
    <definedName name="外部資料_207" localSheetId="9">PKB!#REF!</definedName>
    <definedName name="外部資料_207" localSheetId="10">PKC!#REF!</definedName>
    <definedName name="外部資料_2070" localSheetId="1">財報紅綠燈!#REF!</definedName>
    <definedName name="外部資料_2072" localSheetId="1">財報紅綠燈!#REF!</definedName>
    <definedName name="外部資料_2073" localSheetId="1">財報紅綠燈!#REF!</definedName>
    <definedName name="外部資料_2074" localSheetId="1">財報紅綠燈!#REF!</definedName>
    <definedName name="外部資料_2076" localSheetId="1">財報紅綠燈!#REF!</definedName>
    <definedName name="外部資料_2077" localSheetId="1">財報紅綠燈!#REF!</definedName>
    <definedName name="外部資料_2078" localSheetId="1">財報紅綠燈!#REF!</definedName>
    <definedName name="外部資料_208" localSheetId="8">PKA!#REF!</definedName>
    <definedName name="外部資料_208" localSheetId="9">PKB!#REF!</definedName>
    <definedName name="外部資料_208" localSheetId="10">PKC!#REF!</definedName>
    <definedName name="外部資料_208" localSheetId="1">財報紅綠燈!#REF!</definedName>
    <definedName name="外部資料_2080" localSheetId="1">財報紅綠燈!#REF!</definedName>
    <definedName name="外部資料_2081" localSheetId="1">財報紅綠燈!#REF!</definedName>
    <definedName name="外部資料_2082" localSheetId="1">財報紅綠燈!#REF!</definedName>
    <definedName name="外部資料_2084" localSheetId="1">財報紅綠燈!#REF!</definedName>
    <definedName name="外部資料_2085" localSheetId="1">財報紅綠燈!#REF!</definedName>
    <definedName name="外部資料_2086" localSheetId="1">財報紅綠燈!#REF!</definedName>
    <definedName name="外部資料_2088" localSheetId="1">財報紅綠燈!#REF!</definedName>
    <definedName name="外部資料_2089" localSheetId="1">財報紅綠燈!#REF!</definedName>
    <definedName name="外部資料_209" localSheetId="8">PKA!#REF!</definedName>
    <definedName name="外部資料_209" localSheetId="9">PKB!#REF!</definedName>
    <definedName name="外部資料_209" localSheetId="10">PKC!#REF!</definedName>
    <definedName name="外部資料_209" localSheetId="1">財報紅綠燈!#REF!</definedName>
    <definedName name="外部資料_2090" localSheetId="1">財報紅綠燈!#REF!</definedName>
    <definedName name="外部資料_2092" localSheetId="1">財報紅綠燈!#REF!</definedName>
    <definedName name="外部資料_2093" localSheetId="1">財報紅綠燈!#REF!</definedName>
    <definedName name="外部資料_2094" localSheetId="1">財報紅綠燈!#REF!</definedName>
    <definedName name="外部資料_2096" localSheetId="1">財報紅綠燈!#REF!</definedName>
    <definedName name="外部資料_2097" localSheetId="1">財報紅綠燈!#REF!</definedName>
    <definedName name="外部資料_2098" localSheetId="1">財報紅綠燈!#REF!</definedName>
    <definedName name="外部資料_21" localSheetId="8">PKA!#REF!</definedName>
    <definedName name="外部資料_21" localSheetId="9">PKB!#REF!</definedName>
    <definedName name="外部資料_21" localSheetId="10">PKC!#REF!</definedName>
    <definedName name="外部資料_21" localSheetId="1">財報紅綠燈!#REF!</definedName>
    <definedName name="外部資料_21" localSheetId="5">評比系統!#REF!</definedName>
    <definedName name="外部資料_21" localSheetId="3">篩股系統!#REF!</definedName>
    <definedName name="外部資料_210" localSheetId="8">PKA!#REF!</definedName>
    <definedName name="外部資料_210" localSheetId="9">PKB!#REF!</definedName>
    <definedName name="外部資料_210" localSheetId="10">PKC!#REF!</definedName>
    <definedName name="外部資料_210" localSheetId="1">財報紅綠燈!#REF!</definedName>
    <definedName name="外部資料_2100" localSheetId="1">財報紅綠燈!#REF!</definedName>
    <definedName name="外部資料_2101" localSheetId="1">財報紅綠燈!#REF!</definedName>
    <definedName name="外部資料_2102" localSheetId="1">財報紅綠燈!#REF!</definedName>
    <definedName name="外部資料_2104" localSheetId="1">財報紅綠燈!#REF!</definedName>
    <definedName name="外部資料_2105" localSheetId="1">財報紅綠燈!#REF!</definedName>
    <definedName name="外部資料_2106" localSheetId="1">財報紅綠燈!#REF!</definedName>
    <definedName name="外部資料_2108" localSheetId="1">財報紅綠燈!#REF!</definedName>
    <definedName name="外部資料_2109" localSheetId="1">財報紅綠燈!#REF!</definedName>
    <definedName name="外部資料_211" localSheetId="8">PKA!#REF!</definedName>
    <definedName name="外部資料_211" localSheetId="9">PKB!#REF!</definedName>
    <definedName name="外部資料_211" localSheetId="10">PKC!#REF!</definedName>
    <definedName name="外部資料_2110" localSheetId="1">財報紅綠燈!#REF!</definedName>
    <definedName name="外部資料_2112" localSheetId="1">財報紅綠燈!#REF!</definedName>
    <definedName name="外部資料_2113" localSheetId="1">財報紅綠燈!#REF!</definedName>
    <definedName name="外部資料_2114" localSheetId="1">財報紅綠燈!#REF!</definedName>
    <definedName name="外部資料_2116" localSheetId="1">財報紅綠燈!#REF!</definedName>
    <definedName name="外部資料_2117" localSheetId="1">財報紅綠燈!#REF!</definedName>
    <definedName name="外部資料_2118" localSheetId="1">財報紅綠燈!#REF!</definedName>
    <definedName name="外部資料_212" localSheetId="8">PKA!#REF!</definedName>
    <definedName name="外部資料_212" localSheetId="9">PKB!#REF!</definedName>
    <definedName name="外部資料_212" localSheetId="10">PKC!#REF!</definedName>
    <definedName name="外部資料_212" localSheetId="1">財報紅綠燈!#REF!</definedName>
    <definedName name="外部資料_2120" localSheetId="1">財報紅綠燈!#REF!</definedName>
    <definedName name="外部資料_2121" localSheetId="1">財報紅綠燈!#REF!</definedName>
    <definedName name="外部資料_2122" localSheetId="1">財報紅綠燈!#REF!</definedName>
    <definedName name="外部資料_2124" localSheetId="1">財報紅綠燈!#REF!</definedName>
    <definedName name="外部資料_2125" localSheetId="1">財報紅綠燈!#REF!</definedName>
    <definedName name="外部資料_2126" localSheetId="1">財報紅綠燈!#REF!</definedName>
    <definedName name="外部資料_2128" localSheetId="1">財報紅綠燈!#REF!</definedName>
    <definedName name="外部資料_2129" localSheetId="1">財報紅綠燈!#REF!</definedName>
    <definedName name="外部資料_213" localSheetId="8">PKA!#REF!</definedName>
    <definedName name="外部資料_213" localSheetId="9">PKB!#REF!</definedName>
    <definedName name="外部資料_213" localSheetId="10">PKC!#REF!</definedName>
    <definedName name="外部資料_213" localSheetId="1">財報紅綠燈!#REF!</definedName>
    <definedName name="外部資料_2130" localSheetId="1">財報紅綠燈!#REF!</definedName>
    <definedName name="外部資料_2132" localSheetId="1">財報紅綠燈!#REF!</definedName>
    <definedName name="外部資料_2133" localSheetId="1">財報紅綠燈!#REF!</definedName>
    <definedName name="外部資料_2134" localSheetId="1">財報紅綠燈!#REF!</definedName>
    <definedName name="外部資料_2136" localSheetId="1">財報紅綠燈!#REF!</definedName>
    <definedName name="外部資料_2137" localSheetId="1">財報紅綠燈!#REF!</definedName>
    <definedName name="外部資料_2138" localSheetId="1">財報紅綠燈!#REF!</definedName>
    <definedName name="外部資料_214" localSheetId="8">PKA!#REF!</definedName>
    <definedName name="外部資料_214" localSheetId="9">PKB!#REF!</definedName>
    <definedName name="外部資料_214" localSheetId="10">PKC!#REF!</definedName>
    <definedName name="外部資料_214" localSheetId="1">財報紅綠燈!#REF!</definedName>
    <definedName name="外部資料_2140" localSheetId="1">財報紅綠燈!#REF!</definedName>
    <definedName name="外部資料_2141" localSheetId="1">財報紅綠燈!#REF!</definedName>
    <definedName name="外部資料_2142" localSheetId="1">財報紅綠燈!#REF!</definedName>
    <definedName name="外部資料_2144" localSheetId="1">財報紅綠燈!#REF!</definedName>
    <definedName name="外部資料_2145" localSheetId="1">財報紅綠燈!#REF!</definedName>
    <definedName name="外部資料_2146" localSheetId="1">財報紅綠燈!#REF!</definedName>
    <definedName name="外部資料_2148" localSheetId="1">財報紅綠燈!#REF!</definedName>
    <definedName name="外部資料_2149" localSheetId="1">財報紅綠燈!#REF!</definedName>
    <definedName name="外部資料_215" localSheetId="8">PKA!#REF!</definedName>
    <definedName name="外部資料_215" localSheetId="9">PKB!#REF!</definedName>
    <definedName name="外部資料_215" localSheetId="10">PKC!#REF!</definedName>
    <definedName name="外部資料_2150" localSheetId="1">財報紅綠燈!#REF!</definedName>
    <definedName name="外部資料_2152" localSheetId="1">財報紅綠燈!#REF!</definedName>
    <definedName name="外部資料_2153" localSheetId="1">財報紅綠燈!#REF!</definedName>
    <definedName name="外部資料_2154" localSheetId="1">財報紅綠燈!#REF!</definedName>
    <definedName name="外部資料_2156" localSheetId="1">財報紅綠燈!#REF!</definedName>
    <definedName name="外部資料_2157" localSheetId="1">財報紅綠燈!#REF!</definedName>
    <definedName name="外部資料_2158" localSheetId="1">財報紅綠燈!#REF!</definedName>
    <definedName name="外部資料_216" localSheetId="8">PKA!#REF!</definedName>
    <definedName name="外部資料_216" localSheetId="9">PKB!#REF!</definedName>
    <definedName name="外部資料_216" localSheetId="10">PKC!#REF!</definedName>
    <definedName name="外部資料_216" localSheetId="1">財報紅綠燈!#REF!</definedName>
    <definedName name="外部資料_2160" localSheetId="1">財報紅綠燈!#REF!</definedName>
    <definedName name="外部資料_2161" localSheetId="1">財報紅綠燈!#REF!</definedName>
    <definedName name="外部資料_2162" localSheetId="1">財報紅綠燈!#REF!</definedName>
    <definedName name="外部資料_2164" localSheetId="1">財報紅綠燈!#REF!</definedName>
    <definedName name="外部資料_2165" localSheetId="1">財報紅綠燈!#REF!</definedName>
    <definedName name="外部資料_2166" localSheetId="1">財報紅綠燈!#REF!</definedName>
    <definedName name="外部資料_2168" localSheetId="1">財報紅綠燈!#REF!</definedName>
    <definedName name="外部資料_2169" localSheetId="1">財報紅綠燈!#REF!</definedName>
    <definedName name="外部資料_217" localSheetId="8">PKA!#REF!</definedName>
    <definedName name="外部資料_217" localSheetId="9">PKB!#REF!</definedName>
    <definedName name="外部資料_217" localSheetId="10">PKC!#REF!</definedName>
    <definedName name="外部資料_217" localSheetId="1">財報紅綠燈!#REF!</definedName>
    <definedName name="外部資料_2170" localSheetId="1">財報紅綠燈!#REF!</definedName>
    <definedName name="外部資料_2172" localSheetId="1">財報紅綠燈!#REF!</definedName>
    <definedName name="外部資料_2173" localSheetId="1">財報紅綠燈!#REF!</definedName>
    <definedName name="外部資料_2174" localSheetId="1">財報紅綠燈!#REF!</definedName>
    <definedName name="外部資料_2176" localSheetId="1">財報紅綠燈!#REF!</definedName>
    <definedName name="外部資料_2177" localSheetId="1">財報紅綠燈!#REF!</definedName>
    <definedName name="外部資料_2178" localSheetId="1">財報紅綠燈!#REF!</definedName>
    <definedName name="外部資料_218" localSheetId="8">PKA!#REF!</definedName>
    <definedName name="外部資料_218" localSheetId="9">PKB!#REF!</definedName>
    <definedName name="外部資料_218" localSheetId="10">PKC!#REF!</definedName>
    <definedName name="外部資料_218" localSheetId="1">財報紅綠燈!#REF!</definedName>
    <definedName name="外部資料_2180" localSheetId="1">財報紅綠燈!#REF!</definedName>
    <definedName name="外部資料_2181" localSheetId="1">財報紅綠燈!#REF!</definedName>
    <definedName name="外部資料_2182" localSheetId="1">財報紅綠燈!#REF!</definedName>
    <definedName name="外部資料_2184" localSheetId="1">財報紅綠燈!#REF!</definedName>
    <definedName name="外部資料_2185" localSheetId="1">財報紅綠燈!#REF!</definedName>
    <definedName name="外部資料_2186" localSheetId="1">財報紅綠燈!#REF!</definedName>
    <definedName name="外部資料_2188" localSheetId="1">財報紅綠燈!#REF!</definedName>
    <definedName name="外部資料_2189" localSheetId="1">財報紅綠燈!#REF!</definedName>
    <definedName name="外部資料_219" localSheetId="8">PKA!#REF!</definedName>
    <definedName name="外部資料_219" localSheetId="9">PKB!#REF!</definedName>
    <definedName name="外部資料_219" localSheetId="10">PKC!#REF!</definedName>
    <definedName name="外部資料_2190" localSheetId="1">財報紅綠燈!#REF!</definedName>
    <definedName name="外部資料_2192" localSheetId="1">財報紅綠燈!#REF!</definedName>
    <definedName name="外部資料_2193" localSheetId="1">財報紅綠燈!#REF!</definedName>
    <definedName name="外部資料_2194" localSheetId="1">財報紅綠燈!#REF!</definedName>
    <definedName name="外部資料_2196" localSheetId="1">財報紅綠燈!#REF!</definedName>
    <definedName name="外部資料_2197" localSheetId="1">財報紅綠燈!#REF!</definedName>
    <definedName name="外部資料_2198" localSheetId="1">財報紅綠燈!#REF!</definedName>
    <definedName name="外部資料_22" localSheetId="8">PKA!#REF!</definedName>
    <definedName name="外部資料_22" localSheetId="9">PKB!#REF!</definedName>
    <definedName name="外部資料_22" localSheetId="10">PKC!#REF!</definedName>
    <definedName name="外部資料_22" localSheetId="1">財報紅綠燈!#REF!</definedName>
    <definedName name="外部資料_22" localSheetId="5">評比系統!#REF!</definedName>
    <definedName name="外部資料_22" localSheetId="3">篩股系統!#REF!</definedName>
    <definedName name="外部資料_220" localSheetId="8">PKA!#REF!</definedName>
    <definedName name="外部資料_220" localSheetId="9">PKB!#REF!</definedName>
    <definedName name="外部資料_220" localSheetId="10">PKC!#REF!</definedName>
    <definedName name="外部資料_220" localSheetId="1">財報紅綠燈!#REF!</definedName>
    <definedName name="外部資料_2200" localSheetId="1">財報紅綠燈!#REF!</definedName>
    <definedName name="外部資料_2201" localSheetId="1">財報紅綠燈!#REF!</definedName>
    <definedName name="外部資料_2202" localSheetId="1">財報紅綠燈!#REF!</definedName>
    <definedName name="外部資料_2204" localSheetId="1">財報紅綠燈!#REF!</definedName>
    <definedName name="外部資料_2205" localSheetId="1">財報紅綠燈!#REF!</definedName>
    <definedName name="外部資料_2206" localSheetId="1">財報紅綠燈!#REF!</definedName>
    <definedName name="外部資料_2208" localSheetId="1">財報紅綠燈!#REF!</definedName>
    <definedName name="外部資料_2209" localSheetId="1">財報紅綠燈!#REF!</definedName>
    <definedName name="外部資料_221" localSheetId="8">PKA!#REF!</definedName>
    <definedName name="外部資料_221" localSheetId="9">PKB!#REF!</definedName>
    <definedName name="外部資料_221" localSheetId="10">PKC!#REF!</definedName>
    <definedName name="外部資料_221" localSheetId="1">財報紅綠燈!#REF!</definedName>
    <definedName name="外部資料_2210" localSheetId="1">財報紅綠燈!#REF!</definedName>
    <definedName name="外部資料_2212" localSheetId="1">財報紅綠燈!#REF!</definedName>
    <definedName name="外部資料_2213" localSheetId="1">財報紅綠燈!#REF!</definedName>
    <definedName name="外部資料_2214" localSheetId="1">財報紅綠燈!#REF!</definedName>
    <definedName name="外部資料_2216" localSheetId="1">財報紅綠燈!#REF!</definedName>
    <definedName name="外部資料_2217" localSheetId="1">財報紅綠燈!#REF!</definedName>
    <definedName name="外部資料_2218" localSheetId="1">財報紅綠燈!#REF!</definedName>
    <definedName name="外部資料_222" localSheetId="8">PKA!#REF!</definedName>
    <definedName name="外部資料_222" localSheetId="9">PKB!#REF!</definedName>
    <definedName name="外部資料_222" localSheetId="10">PKC!#REF!</definedName>
    <definedName name="外部資料_222" localSheetId="1">財報紅綠燈!#REF!</definedName>
    <definedName name="外部資料_2220" localSheetId="1">財報紅綠燈!#REF!</definedName>
    <definedName name="外部資料_2221" localSheetId="1">財報紅綠燈!#REF!</definedName>
    <definedName name="外部資料_2222" localSheetId="1">財報紅綠燈!#REF!</definedName>
    <definedName name="外部資料_2224" localSheetId="1">財報紅綠燈!#REF!</definedName>
    <definedName name="外部資料_2225" localSheetId="1">財報紅綠燈!#REF!</definedName>
    <definedName name="外部資料_2226" localSheetId="1">財報紅綠燈!#REF!</definedName>
    <definedName name="外部資料_2228" localSheetId="1">財報紅綠燈!#REF!</definedName>
    <definedName name="外部資料_2229" localSheetId="1">財報紅綠燈!#REF!</definedName>
    <definedName name="外部資料_223" localSheetId="8">PKA!#REF!</definedName>
    <definedName name="外部資料_223" localSheetId="9">PKB!#REF!</definedName>
    <definedName name="外部資料_223" localSheetId="10">PKC!#REF!</definedName>
    <definedName name="外部資料_2230" localSheetId="1">財報紅綠燈!#REF!</definedName>
    <definedName name="外部資料_2232" localSheetId="1">財報紅綠燈!#REF!</definedName>
    <definedName name="外部資料_2233" localSheetId="1">財報紅綠燈!#REF!</definedName>
    <definedName name="外部資料_2234" localSheetId="1">財報紅綠燈!#REF!</definedName>
    <definedName name="外部資料_2236" localSheetId="1">財報紅綠燈!#REF!</definedName>
    <definedName name="外部資料_2237" localSheetId="1">財報紅綠燈!#REF!</definedName>
    <definedName name="外部資料_2238" localSheetId="1">財報紅綠燈!#REF!</definedName>
    <definedName name="外部資料_224" localSheetId="8">PKA!#REF!</definedName>
    <definedName name="外部資料_224" localSheetId="9">PKB!#REF!</definedName>
    <definedName name="外部資料_224" localSheetId="10">PKC!#REF!</definedName>
    <definedName name="外部資料_224" localSheetId="1">財報紅綠燈!#REF!</definedName>
    <definedName name="外部資料_2240" localSheetId="1">財報紅綠燈!#REF!</definedName>
    <definedName name="外部資料_2241" localSheetId="1">財報紅綠燈!#REF!</definedName>
    <definedName name="外部資料_2242" localSheetId="1">財報紅綠燈!#REF!</definedName>
    <definedName name="外部資料_2244" localSheetId="1">財報紅綠燈!#REF!</definedName>
    <definedName name="外部資料_2245" localSheetId="1">財報紅綠燈!#REF!</definedName>
    <definedName name="外部資料_2246" localSheetId="1">財報紅綠燈!#REF!</definedName>
    <definedName name="外部資料_2248" localSheetId="1">財報紅綠燈!#REF!</definedName>
    <definedName name="外部資料_2249" localSheetId="1">財報紅綠燈!#REF!</definedName>
    <definedName name="外部資料_225" localSheetId="8">PKA!#REF!</definedName>
    <definedName name="外部資料_225" localSheetId="9">PKB!#REF!</definedName>
    <definedName name="外部資料_225" localSheetId="10">PKC!#REF!</definedName>
    <definedName name="外部資料_225" localSheetId="1">財報紅綠燈!#REF!</definedName>
    <definedName name="外部資料_2250" localSheetId="1">財報紅綠燈!#REF!</definedName>
    <definedName name="外部資料_2252" localSheetId="1">財報紅綠燈!#REF!</definedName>
    <definedName name="外部資料_2253" localSheetId="1">財報紅綠燈!#REF!</definedName>
    <definedName name="外部資料_2254" localSheetId="1">財報紅綠燈!#REF!</definedName>
    <definedName name="外部資料_2256" localSheetId="1">財報紅綠燈!#REF!</definedName>
    <definedName name="外部資料_2257" localSheetId="1">財報紅綠燈!#REF!</definedName>
    <definedName name="外部資料_2258" localSheetId="1">財報紅綠燈!#REF!</definedName>
    <definedName name="外部資料_226" localSheetId="8">PKA!#REF!</definedName>
    <definedName name="外部資料_226" localSheetId="9">PKB!#REF!</definedName>
    <definedName name="外部資料_226" localSheetId="10">PKC!#REF!</definedName>
    <definedName name="外部資料_226" localSheetId="1">財報紅綠燈!#REF!</definedName>
    <definedName name="外部資料_2260" localSheetId="1">財報紅綠燈!#REF!</definedName>
    <definedName name="外部資料_2261" localSheetId="1">財報紅綠燈!#REF!</definedName>
    <definedName name="外部資料_2262" localSheetId="1">財報紅綠燈!#REF!</definedName>
    <definedName name="外部資料_2264" localSheetId="1">財報紅綠燈!#REF!</definedName>
    <definedName name="外部資料_2265" localSheetId="1">財報紅綠燈!#REF!</definedName>
    <definedName name="外部資料_2266" localSheetId="1">財報紅綠燈!#REF!</definedName>
    <definedName name="外部資料_2268" localSheetId="1">財報紅綠燈!#REF!</definedName>
    <definedName name="外部資料_2269" localSheetId="1">財報紅綠燈!#REF!</definedName>
    <definedName name="外部資料_227" localSheetId="8">PKA!#REF!</definedName>
    <definedName name="外部資料_227" localSheetId="9">PKB!#REF!</definedName>
    <definedName name="外部資料_227" localSheetId="10">PKC!#REF!</definedName>
    <definedName name="外部資料_2270" localSheetId="1">財報紅綠燈!#REF!</definedName>
    <definedName name="外部資料_2272" localSheetId="1">財報紅綠燈!#REF!</definedName>
    <definedName name="外部資料_2273" localSheetId="1">財報紅綠燈!#REF!</definedName>
    <definedName name="外部資料_2274" localSheetId="1">財報紅綠燈!#REF!</definedName>
    <definedName name="外部資料_2276" localSheetId="1">財報紅綠燈!#REF!</definedName>
    <definedName name="外部資料_2277" localSheetId="1">財報紅綠燈!#REF!</definedName>
    <definedName name="外部資料_2278" localSheetId="1">財報紅綠燈!#REF!</definedName>
    <definedName name="外部資料_228" localSheetId="8">PKA!#REF!</definedName>
    <definedName name="外部資料_228" localSheetId="9">PKB!#REF!</definedName>
    <definedName name="外部資料_228" localSheetId="10">PKC!#REF!</definedName>
    <definedName name="外部資料_228" localSheetId="1">財報紅綠燈!#REF!</definedName>
    <definedName name="外部資料_2280" localSheetId="1">財報紅綠燈!#REF!</definedName>
    <definedName name="外部資料_2281" localSheetId="1">財報紅綠燈!#REF!</definedName>
    <definedName name="外部資料_2282" localSheetId="1">財報紅綠燈!#REF!</definedName>
    <definedName name="外部資料_2284" localSheetId="1">財報紅綠燈!#REF!</definedName>
    <definedName name="外部資料_2285" localSheetId="1">財報紅綠燈!#REF!</definedName>
    <definedName name="外部資料_2286" localSheetId="1">財報紅綠燈!#REF!</definedName>
    <definedName name="外部資料_2288" localSheetId="1">財報紅綠燈!#REF!</definedName>
    <definedName name="外部資料_2289" localSheetId="1">財報紅綠燈!#REF!</definedName>
    <definedName name="外部資料_229" localSheetId="8">PKA!#REF!</definedName>
    <definedName name="外部資料_229" localSheetId="9">PKB!#REF!</definedName>
    <definedName name="外部資料_229" localSheetId="10">PKC!#REF!</definedName>
    <definedName name="外部資料_229" localSheetId="1">財報紅綠燈!#REF!</definedName>
    <definedName name="外部資料_2290" localSheetId="1">財報紅綠燈!#REF!</definedName>
    <definedName name="外部資料_2292" localSheetId="1">財報紅綠燈!#REF!</definedName>
    <definedName name="外部資料_2293" localSheetId="1">財報紅綠燈!#REF!</definedName>
    <definedName name="外部資料_2294" localSheetId="1">財報紅綠燈!#REF!</definedName>
    <definedName name="外部資料_2296" localSheetId="1">財報紅綠燈!#REF!</definedName>
    <definedName name="外部資料_2297" localSheetId="1">財報紅綠燈!#REF!</definedName>
    <definedName name="外部資料_2298" localSheetId="1">財報紅綠燈!#REF!</definedName>
    <definedName name="外部資料_23" localSheetId="8">PKA!#REF!</definedName>
    <definedName name="外部資料_23" localSheetId="9">PKB!#REF!</definedName>
    <definedName name="外部資料_23" localSheetId="10">PKC!#REF!</definedName>
    <definedName name="外部資料_23" localSheetId="5">評比系統!#REF!</definedName>
    <definedName name="外部資料_23" localSheetId="3">篩股系統!#REF!</definedName>
    <definedName name="外部資料_230" localSheetId="8">PKA!#REF!</definedName>
    <definedName name="外部資料_230" localSheetId="9">PKB!#REF!</definedName>
    <definedName name="外部資料_230" localSheetId="10">PKC!#REF!</definedName>
    <definedName name="外部資料_230" localSheetId="1">財報紅綠燈!#REF!</definedName>
    <definedName name="外部資料_2300" localSheetId="1">財報紅綠燈!#REF!</definedName>
    <definedName name="外部資料_2301" localSheetId="1">財報紅綠燈!#REF!</definedName>
    <definedName name="外部資料_2302" localSheetId="1">財報紅綠燈!#REF!</definedName>
    <definedName name="外部資料_2304" localSheetId="1">財報紅綠燈!#REF!</definedName>
    <definedName name="外部資料_2305" localSheetId="1">財報紅綠燈!#REF!</definedName>
    <definedName name="外部資料_2306" localSheetId="1">財報紅綠燈!#REF!</definedName>
    <definedName name="外部資料_2308" localSheetId="1">財報紅綠燈!#REF!</definedName>
    <definedName name="外部資料_2309" localSheetId="1">財報紅綠燈!#REF!</definedName>
    <definedName name="外部資料_231" localSheetId="8">PKA!#REF!</definedName>
    <definedName name="外部資料_231" localSheetId="9">PKB!#REF!</definedName>
    <definedName name="外部資料_231" localSheetId="10">PKC!#REF!</definedName>
    <definedName name="外部資料_2310" localSheetId="1">財報紅綠燈!#REF!</definedName>
    <definedName name="外部資料_2312" localSheetId="1">財報紅綠燈!#REF!</definedName>
    <definedName name="外部資料_2313" localSheetId="1">財報紅綠燈!#REF!</definedName>
    <definedName name="外部資料_2314" localSheetId="1">財報紅綠燈!#REF!</definedName>
    <definedName name="外部資料_2316" localSheetId="1">財報紅綠燈!#REF!</definedName>
    <definedName name="外部資料_2317" localSheetId="1">財報紅綠燈!#REF!</definedName>
    <definedName name="外部資料_2318" localSheetId="1">財報紅綠燈!#REF!</definedName>
    <definedName name="外部資料_232" localSheetId="8">PKA!#REF!</definedName>
    <definedName name="外部資料_232" localSheetId="9">PKB!#REF!</definedName>
    <definedName name="外部資料_232" localSheetId="10">PKC!#REF!</definedName>
    <definedName name="外部資料_232" localSheetId="1">財報紅綠燈!#REF!</definedName>
    <definedName name="外部資料_2320" localSheetId="1">財報紅綠燈!#REF!</definedName>
    <definedName name="外部資料_2321" localSheetId="1">財報紅綠燈!#REF!</definedName>
    <definedName name="外部資料_2322" localSheetId="1">財報紅綠燈!#REF!</definedName>
    <definedName name="外部資料_2324" localSheetId="1">財報紅綠燈!#REF!</definedName>
    <definedName name="外部資料_2325" localSheetId="1">財報紅綠燈!#REF!</definedName>
    <definedName name="外部資料_2326" localSheetId="1">財報紅綠燈!#REF!</definedName>
    <definedName name="外部資料_2328" localSheetId="1">財報紅綠燈!#REF!</definedName>
    <definedName name="外部資料_2329" localSheetId="1">財報紅綠燈!#REF!</definedName>
    <definedName name="外部資料_233" localSheetId="8">PKA!#REF!</definedName>
    <definedName name="外部資料_233" localSheetId="9">PKB!#REF!</definedName>
    <definedName name="外部資料_233" localSheetId="10">PKC!#REF!</definedName>
    <definedName name="外部資料_233" localSheetId="1">財報紅綠燈!#REF!</definedName>
    <definedName name="外部資料_2330" localSheetId="1">財報紅綠燈!#REF!</definedName>
    <definedName name="外部資料_2332" localSheetId="1">財報紅綠燈!#REF!</definedName>
    <definedName name="外部資料_2333" localSheetId="1">財報紅綠燈!#REF!</definedName>
    <definedName name="外部資料_2334" localSheetId="1">財報紅綠燈!#REF!</definedName>
    <definedName name="外部資料_2336" localSheetId="1">財報紅綠燈!#REF!</definedName>
    <definedName name="外部資料_2337" localSheetId="1">財報紅綠燈!#REF!</definedName>
    <definedName name="外部資料_2338" localSheetId="1">財報紅綠燈!#REF!</definedName>
    <definedName name="外部資料_234" localSheetId="8">PKA!#REF!</definedName>
    <definedName name="外部資料_234" localSheetId="9">PKB!#REF!</definedName>
    <definedName name="外部資料_234" localSheetId="10">PKC!#REF!</definedName>
    <definedName name="外部資料_234" localSheetId="1">財報紅綠燈!#REF!</definedName>
    <definedName name="外部資料_2340" localSheetId="1">財報紅綠燈!#REF!</definedName>
    <definedName name="外部資料_2341" localSheetId="1">財報紅綠燈!#REF!</definedName>
    <definedName name="外部資料_2342" localSheetId="1">財報紅綠燈!#REF!</definedName>
    <definedName name="外部資料_2344" localSheetId="1">財報紅綠燈!#REF!</definedName>
    <definedName name="外部資料_2345" localSheetId="1">財報紅綠燈!#REF!</definedName>
    <definedName name="外部資料_2346" localSheetId="1">財報紅綠燈!#REF!</definedName>
    <definedName name="外部資料_2348" localSheetId="1">財報紅綠燈!#REF!</definedName>
    <definedName name="外部資料_2349" localSheetId="1">財報紅綠燈!#REF!</definedName>
    <definedName name="外部資料_235" localSheetId="8">PKA!#REF!</definedName>
    <definedName name="外部資料_235" localSheetId="9">PKB!#REF!</definedName>
    <definedName name="外部資料_235" localSheetId="10">PKC!#REF!</definedName>
    <definedName name="外部資料_2350" localSheetId="1">財報紅綠燈!#REF!</definedName>
    <definedName name="外部資料_2352" localSheetId="1">財報紅綠燈!#REF!</definedName>
    <definedName name="外部資料_2353" localSheetId="1">財報紅綠燈!#REF!</definedName>
    <definedName name="外部資料_2354" localSheetId="1">財報紅綠燈!#REF!</definedName>
    <definedName name="外部資料_2356" localSheetId="1">財報紅綠燈!#REF!</definedName>
    <definedName name="外部資料_2357" localSheetId="1">財報紅綠燈!#REF!</definedName>
    <definedName name="外部資料_2358" localSheetId="1">財報紅綠燈!#REF!</definedName>
    <definedName name="外部資料_236" localSheetId="8">PKA!#REF!</definedName>
    <definedName name="外部資料_236" localSheetId="9">PKB!#REF!</definedName>
    <definedName name="外部資料_236" localSheetId="10">PKC!#REF!</definedName>
    <definedName name="外部資料_236" localSheetId="1">財報紅綠燈!#REF!</definedName>
    <definedName name="外部資料_2360" localSheetId="1">財報紅綠燈!#REF!</definedName>
    <definedName name="外部資料_2361" localSheetId="1">財報紅綠燈!#REF!</definedName>
    <definedName name="外部資料_2362" localSheetId="1">財報紅綠燈!#REF!</definedName>
    <definedName name="外部資料_2364" localSheetId="1">財報紅綠燈!#REF!</definedName>
    <definedName name="外部資料_2365" localSheetId="1">財報紅綠燈!#REF!</definedName>
    <definedName name="外部資料_2366" localSheetId="1">財報紅綠燈!#REF!</definedName>
    <definedName name="外部資料_2368" localSheetId="1">財報紅綠燈!#REF!</definedName>
    <definedName name="外部資料_2369" localSheetId="1">財報紅綠燈!#REF!</definedName>
    <definedName name="外部資料_237" localSheetId="8">PKA!#REF!</definedName>
    <definedName name="外部資料_237" localSheetId="9">PKB!#REF!</definedName>
    <definedName name="外部資料_237" localSheetId="10">PKC!#REF!</definedName>
    <definedName name="外部資料_237" localSheetId="1">財報紅綠燈!#REF!</definedName>
    <definedName name="外部資料_2370" localSheetId="1">財報紅綠燈!#REF!</definedName>
    <definedName name="外部資料_2372" localSheetId="1">財報紅綠燈!#REF!</definedName>
    <definedName name="外部資料_2373" localSheetId="1">財報紅綠燈!#REF!</definedName>
    <definedName name="外部資料_2374" localSheetId="1">財報紅綠燈!#REF!</definedName>
    <definedName name="外部資料_2376" localSheetId="1">財報紅綠燈!#REF!</definedName>
    <definedName name="外部資料_2377" localSheetId="1">財報紅綠燈!#REF!</definedName>
    <definedName name="外部資料_2378" localSheetId="1">財報紅綠燈!#REF!</definedName>
    <definedName name="外部資料_238" localSheetId="8">PKA!#REF!</definedName>
    <definedName name="外部資料_238" localSheetId="9">PKB!#REF!</definedName>
    <definedName name="外部資料_238" localSheetId="10">PKC!#REF!</definedName>
    <definedName name="外部資料_238" localSheetId="1">財報紅綠燈!#REF!</definedName>
    <definedName name="外部資料_2380" localSheetId="1">財報紅綠燈!#REF!</definedName>
    <definedName name="外部資料_2381" localSheetId="1">財報紅綠燈!#REF!</definedName>
    <definedName name="外部資料_2382" localSheetId="1">財報紅綠燈!#REF!</definedName>
    <definedName name="外部資料_2384" localSheetId="1">財報紅綠燈!#REF!</definedName>
    <definedName name="外部資料_2385" localSheetId="1">財報紅綠燈!#REF!</definedName>
    <definedName name="外部資料_2386" localSheetId="1">財報紅綠燈!#REF!</definedName>
    <definedName name="外部資料_2388" localSheetId="1">財報紅綠燈!#REF!</definedName>
    <definedName name="外部資料_2389" localSheetId="1">財報紅綠燈!#REF!</definedName>
    <definedName name="外部資料_239" localSheetId="8">PKA!#REF!</definedName>
    <definedName name="外部資料_239" localSheetId="9">PKB!#REF!</definedName>
    <definedName name="外部資料_239" localSheetId="10">PKC!#REF!</definedName>
    <definedName name="外部資料_2390" localSheetId="1">財報紅綠燈!#REF!</definedName>
    <definedName name="外部資料_2392" localSheetId="1">財報紅綠燈!#REF!</definedName>
    <definedName name="外部資料_2393" localSheetId="1">財報紅綠燈!#REF!</definedName>
    <definedName name="外部資料_2394" localSheetId="1">財報紅綠燈!#REF!</definedName>
    <definedName name="外部資料_2396" localSheetId="1">財報紅綠燈!#REF!</definedName>
    <definedName name="外部資料_2397" localSheetId="1">財報紅綠燈!#REF!</definedName>
    <definedName name="外部資料_2398" localSheetId="1">財報紅綠燈!#REF!</definedName>
    <definedName name="外部資料_24" localSheetId="8">PKA!#REF!</definedName>
    <definedName name="外部資料_24" localSheetId="9">PKB!#REF!</definedName>
    <definedName name="外部資料_24" localSheetId="10">PKC!#REF!</definedName>
    <definedName name="外部資料_24" localSheetId="1">財報紅綠燈!#REF!</definedName>
    <definedName name="外部資料_24" localSheetId="5">評比系統!#REF!</definedName>
    <definedName name="外部資料_24" localSheetId="3">篩股系統!#REF!</definedName>
    <definedName name="外部資料_240" localSheetId="8">PKA!#REF!</definedName>
    <definedName name="外部資料_240" localSheetId="9">PKB!#REF!</definedName>
    <definedName name="外部資料_240" localSheetId="10">PKC!#REF!</definedName>
    <definedName name="外部資料_240" localSheetId="1">財報紅綠燈!#REF!</definedName>
    <definedName name="外部資料_2400" localSheetId="1">財報紅綠燈!#REF!</definedName>
    <definedName name="外部資料_2401" localSheetId="1">財報紅綠燈!#REF!</definedName>
    <definedName name="外部資料_2402" localSheetId="1">財報紅綠燈!#REF!</definedName>
    <definedName name="外部資料_2404" localSheetId="1">財報紅綠燈!#REF!</definedName>
    <definedName name="外部資料_2405" localSheetId="1">財報紅綠燈!#REF!</definedName>
    <definedName name="外部資料_2406" localSheetId="1">財報紅綠燈!#REF!</definedName>
    <definedName name="外部資料_2408" localSheetId="1">財報紅綠燈!#REF!</definedName>
    <definedName name="外部資料_2409" localSheetId="1">財報紅綠燈!#REF!</definedName>
    <definedName name="外部資料_241" localSheetId="8">PKA!#REF!</definedName>
    <definedName name="外部資料_241" localSheetId="9">PKB!#REF!</definedName>
    <definedName name="外部資料_241" localSheetId="10">PKC!#REF!</definedName>
    <definedName name="外部資料_241" localSheetId="1">財報紅綠燈!#REF!</definedName>
    <definedName name="外部資料_2410" localSheetId="1">財報紅綠燈!#REF!</definedName>
    <definedName name="外部資料_2412" localSheetId="1">財報紅綠燈!#REF!</definedName>
    <definedName name="外部資料_2413" localSheetId="1">財報紅綠燈!#REF!</definedName>
    <definedName name="外部資料_2414" localSheetId="1">財報紅綠燈!#REF!</definedName>
    <definedName name="外部資料_2416" localSheetId="1">財報紅綠燈!#REF!</definedName>
    <definedName name="外部資料_2417" localSheetId="1">財報紅綠燈!#REF!</definedName>
    <definedName name="外部資料_2418" localSheetId="1">財報紅綠燈!#REF!</definedName>
    <definedName name="外部資料_242" localSheetId="8">PKA!#REF!</definedName>
    <definedName name="外部資料_242" localSheetId="9">PKB!#REF!</definedName>
    <definedName name="外部資料_242" localSheetId="10">PKC!#REF!</definedName>
    <definedName name="外部資料_242" localSheetId="1">財報紅綠燈!#REF!</definedName>
    <definedName name="外部資料_2420" localSheetId="1">財報紅綠燈!#REF!</definedName>
    <definedName name="外部資料_2421" localSheetId="1">財報紅綠燈!#REF!</definedName>
    <definedName name="外部資料_2422" localSheetId="1">財報紅綠燈!#REF!</definedName>
    <definedName name="外部資料_2424" localSheetId="1">財報紅綠燈!#REF!</definedName>
    <definedName name="外部資料_2425" localSheetId="1">財報紅綠燈!#REF!</definedName>
    <definedName name="外部資料_2426" localSheetId="1">財報紅綠燈!#REF!</definedName>
    <definedName name="外部資料_2428" localSheetId="1">財報紅綠燈!#REF!</definedName>
    <definedName name="外部資料_2429" localSheetId="1">財報紅綠燈!#REF!</definedName>
    <definedName name="外部資料_243" localSheetId="8">PKA!#REF!</definedName>
    <definedName name="外部資料_243" localSheetId="9">PKB!#REF!</definedName>
    <definedName name="外部資料_243" localSheetId="10">PKC!#REF!</definedName>
    <definedName name="外部資料_2430" localSheetId="1">財報紅綠燈!#REF!</definedName>
    <definedName name="外部資料_2432" localSheetId="1">財報紅綠燈!#REF!</definedName>
    <definedName name="外部資料_2433" localSheetId="1">財報紅綠燈!#REF!</definedName>
    <definedName name="外部資料_2434" localSheetId="1">財報紅綠燈!#REF!</definedName>
    <definedName name="外部資料_2436" localSheetId="1">財報紅綠燈!#REF!</definedName>
    <definedName name="外部資料_2437" localSheetId="1">財報紅綠燈!#REF!</definedName>
    <definedName name="外部資料_2438" localSheetId="1">財報紅綠燈!#REF!</definedName>
    <definedName name="外部資料_244" localSheetId="8">PKA!#REF!</definedName>
    <definedName name="外部資料_244" localSheetId="9">PKB!#REF!</definedName>
    <definedName name="外部資料_244" localSheetId="10">PKC!#REF!</definedName>
    <definedName name="外部資料_244" localSheetId="1">財報紅綠燈!#REF!</definedName>
    <definedName name="外部資料_2440" localSheetId="1">財報紅綠燈!#REF!</definedName>
    <definedName name="外部資料_2441" localSheetId="1">財報紅綠燈!#REF!</definedName>
    <definedName name="外部資料_2442" localSheetId="1">財報紅綠燈!#REF!</definedName>
    <definedName name="外部資料_2444" localSheetId="1">財報紅綠燈!#REF!</definedName>
    <definedName name="外部資料_2445" localSheetId="1">財報紅綠燈!#REF!</definedName>
    <definedName name="外部資料_2446" localSheetId="1">財報紅綠燈!#REF!</definedName>
    <definedName name="外部資料_2448" localSheetId="1">財報紅綠燈!#REF!</definedName>
    <definedName name="外部資料_2449" localSheetId="1">財報紅綠燈!#REF!</definedName>
    <definedName name="外部資料_245" localSheetId="8">PKA!#REF!</definedName>
    <definedName name="外部資料_245" localSheetId="9">PKB!#REF!</definedName>
    <definedName name="外部資料_245" localSheetId="10">PKC!#REF!</definedName>
    <definedName name="外部資料_245" localSheetId="1">財報紅綠燈!#REF!</definedName>
    <definedName name="外部資料_2451" localSheetId="1">財報紅綠燈!#REF!</definedName>
    <definedName name="外部資料_2452" localSheetId="1">財報紅綠燈!#REF!</definedName>
    <definedName name="外部資料_2453" localSheetId="1">財報紅綠燈!#REF!</definedName>
    <definedName name="外部資料_2455" localSheetId="1">財報紅綠燈!#REF!</definedName>
    <definedName name="外部資料_2456" localSheetId="1">財報紅綠燈!#REF!</definedName>
    <definedName name="外部資料_2457" localSheetId="1">財報紅綠燈!#REF!</definedName>
    <definedName name="外部資料_2459" localSheetId="1">財報紅綠燈!#REF!</definedName>
    <definedName name="外部資料_246" localSheetId="8">PKA!#REF!</definedName>
    <definedName name="外部資料_246" localSheetId="9">PKB!#REF!</definedName>
    <definedName name="外部資料_246" localSheetId="10">PKC!#REF!</definedName>
    <definedName name="外部資料_246" localSheetId="1">財報紅綠燈!#REF!</definedName>
    <definedName name="外部資料_2460" localSheetId="1">財報紅綠燈!#REF!</definedName>
    <definedName name="外部資料_2461" localSheetId="1">財報紅綠燈!#REF!</definedName>
    <definedName name="外部資料_2463" localSheetId="1">財報紅綠燈!#REF!</definedName>
    <definedName name="外部資料_2464" localSheetId="1">財報紅綠燈!#REF!</definedName>
    <definedName name="外部資料_2465" localSheetId="1">財報紅綠燈!#REF!</definedName>
    <definedName name="外部資料_2467" localSheetId="1">財報紅綠燈!#REF!</definedName>
    <definedName name="外部資料_2468" localSheetId="1">財報紅綠燈!#REF!</definedName>
    <definedName name="外部資料_2469" localSheetId="1">財報紅綠燈!#REF!</definedName>
    <definedName name="外部資料_247" localSheetId="8">PKA!#REF!</definedName>
    <definedName name="外部資料_247" localSheetId="9">PKB!#REF!</definedName>
    <definedName name="外部資料_247" localSheetId="10">PKC!#REF!</definedName>
    <definedName name="外部資料_2471" localSheetId="1">財報紅綠燈!#REF!</definedName>
    <definedName name="外部資料_2472" localSheetId="1">財報紅綠燈!#REF!</definedName>
    <definedName name="外部資料_2473" localSheetId="1">財報紅綠燈!#REF!</definedName>
    <definedName name="外部資料_2475" localSheetId="1">財報紅綠燈!#REF!</definedName>
    <definedName name="外部資料_2476" localSheetId="1">財報紅綠燈!#REF!</definedName>
    <definedName name="外部資料_2477" localSheetId="1">財報紅綠燈!#REF!</definedName>
    <definedName name="外部資料_2479" localSheetId="1">財報紅綠燈!#REF!</definedName>
    <definedName name="外部資料_248" localSheetId="8">PKA!#REF!</definedName>
    <definedName name="外部資料_248" localSheetId="9">PKB!#REF!</definedName>
    <definedName name="外部資料_248" localSheetId="10">PKC!#REF!</definedName>
    <definedName name="外部資料_248" localSheetId="1">財報紅綠燈!#REF!</definedName>
    <definedName name="外部資料_2480" localSheetId="1">財報紅綠燈!#REF!</definedName>
    <definedName name="外部資料_2481" localSheetId="1">財報紅綠燈!#REF!</definedName>
    <definedName name="外部資料_2483" localSheetId="1">財報紅綠燈!#REF!</definedName>
    <definedName name="外部資料_2484" localSheetId="1">財報紅綠燈!#REF!</definedName>
    <definedName name="外部資料_2485" localSheetId="1">財報紅綠燈!#REF!</definedName>
    <definedName name="外部資料_2487" localSheetId="1">財報紅綠燈!#REF!</definedName>
    <definedName name="外部資料_2488" localSheetId="1">財報紅綠燈!#REF!</definedName>
    <definedName name="外部資料_2489" localSheetId="1">財報紅綠燈!#REF!</definedName>
    <definedName name="外部資料_249" localSheetId="8">PKA!#REF!</definedName>
    <definedName name="外部資料_249" localSheetId="9">PKB!#REF!</definedName>
    <definedName name="外部資料_249" localSheetId="10">PKC!#REF!</definedName>
    <definedName name="外部資料_249" localSheetId="1">財報紅綠燈!#REF!</definedName>
    <definedName name="外部資料_2491" localSheetId="1">財報紅綠燈!#REF!</definedName>
    <definedName name="外部資料_2492" localSheetId="1">財報紅綠燈!#REF!</definedName>
    <definedName name="外部資料_2493" localSheetId="1">財報紅綠燈!#REF!</definedName>
    <definedName name="外部資料_2495" localSheetId="1">財報紅綠燈!#REF!</definedName>
    <definedName name="外部資料_2496" localSheetId="1">財報紅綠燈!#REF!</definedName>
    <definedName name="外部資料_2497" localSheetId="1">財報紅綠燈!#REF!</definedName>
    <definedName name="外部資料_2499" localSheetId="1">財報紅綠燈!#REF!</definedName>
    <definedName name="外部資料_25" localSheetId="8">PKA!#REF!</definedName>
    <definedName name="外部資料_25" localSheetId="9">PKB!#REF!</definedName>
    <definedName name="外部資料_25" localSheetId="10">PKC!#REF!</definedName>
    <definedName name="外部資料_25" localSheetId="1">財報紅綠燈!#REF!</definedName>
    <definedName name="外部資料_25" localSheetId="5">評比系統!#REF!</definedName>
    <definedName name="外部資料_25" localSheetId="3">篩股系統!#REF!</definedName>
    <definedName name="外部資料_250" localSheetId="8">PKA!#REF!</definedName>
    <definedName name="外部資料_250" localSheetId="9">PKB!#REF!</definedName>
    <definedName name="外部資料_250" localSheetId="10">PKC!#REF!</definedName>
    <definedName name="外部資料_250" localSheetId="1">財報紅綠燈!#REF!</definedName>
    <definedName name="外部資料_2500" localSheetId="1">財報紅綠燈!#REF!</definedName>
    <definedName name="外部資料_2501" localSheetId="1">財報紅綠燈!#REF!</definedName>
    <definedName name="外部資料_2503" localSheetId="1">財報紅綠燈!#REF!</definedName>
    <definedName name="外部資料_2504" localSheetId="1">財報紅綠燈!#REF!</definedName>
    <definedName name="外部資料_2505" localSheetId="1">財報紅綠燈!#REF!</definedName>
    <definedName name="外部資料_2507" localSheetId="1">財報紅綠燈!#REF!</definedName>
    <definedName name="外部資料_2508" localSheetId="1">財報紅綠燈!#REF!</definedName>
    <definedName name="外部資料_2509" localSheetId="1">財報紅綠燈!#REF!</definedName>
    <definedName name="外部資料_251" localSheetId="8">PKA!#REF!</definedName>
    <definedName name="外部資料_251" localSheetId="9">PKB!#REF!</definedName>
    <definedName name="外部資料_251" localSheetId="10">PKC!#REF!</definedName>
    <definedName name="外部資料_2511" localSheetId="1">財報紅綠燈!#REF!</definedName>
    <definedName name="外部資料_2512" localSheetId="1">財報紅綠燈!#REF!</definedName>
    <definedName name="外部資料_2513" localSheetId="1">財報紅綠燈!#REF!</definedName>
    <definedName name="外部資料_2515" localSheetId="1">財報紅綠燈!#REF!</definedName>
    <definedName name="外部資料_2516" localSheetId="1">財報紅綠燈!#REF!</definedName>
    <definedName name="外部資料_2517" localSheetId="1">財報紅綠燈!#REF!</definedName>
    <definedName name="外部資料_2519" localSheetId="1">財報紅綠燈!#REF!</definedName>
    <definedName name="外部資料_252" localSheetId="8">PKA!#REF!</definedName>
    <definedName name="外部資料_252" localSheetId="9">PKB!#REF!</definedName>
    <definedName name="外部資料_252" localSheetId="10">PKC!#REF!</definedName>
    <definedName name="外部資料_252" localSheetId="1">財報紅綠燈!#REF!</definedName>
    <definedName name="外部資料_2520" localSheetId="1">財報紅綠燈!#REF!</definedName>
    <definedName name="外部資料_2521" localSheetId="1">財報紅綠燈!#REF!</definedName>
    <definedName name="外部資料_2523" localSheetId="1">財報紅綠燈!#REF!</definedName>
    <definedName name="外部資料_2524" localSheetId="1">財報紅綠燈!#REF!</definedName>
    <definedName name="外部資料_2525" localSheetId="1">財報紅綠燈!#REF!</definedName>
    <definedName name="外部資料_2527" localSheetId="1">財報紅綠燈!#REF!</definedName>
    <definedName name="外部資料_2528" localSheetId="1">財報紅綠燈!#REF!</definedName>
    <definedName name="外部資料_2529" localSheetId="1">財報紅綠燈!#REF!</definedName>
    <definedName name="外部資料_253" localSheetId="8">PKA!#REF!</definedName>
    <definedName name="外部資料_253" localSheetId="9">PKB!#REF!</definedName>
    <definedName name="外部資料_253" localSheetId="10">PKC!#REF!</definedName>
    <definedName name="外部資料_253" localSheetId="1">財報紅綠燈!#REF!</definedName>
    <definedName name="外部資料_2531" localSheetId="1">財報紅綠燈!#REF!</definedName>
    <definedName name="外部資料_2532" localSheetId="1">財報紅綠燈!#REF!</definedName>
    <definedName name="外部資料_2533" localSheetId="1">財報紅綠燈!#REF!</definedName>
    <definedName name="外部資料_2535" localSheetId="1">財報紅綠燈!#REF!</definedName>
    <definedName name="外部資料_2536" localSheetId="1">財報紅綠燈!#REF!</definedName>
    <definedName name="外部資料_2537" localSheetId="1">財報紅綠燈!#REF!</definedName>
    <definedName name="外部資料_2539" localSheetId="1">財報紅綠燈!#REF!</definedName>
    <definedName name="外部資料_254" localSheetId="8">PKA!#REF!</definedName>
    <definedName name="外部資料_254" localSheetId="9">PKB!#REF!</definedName>
    <definedName name="外部資料_254" localSheetId="10">PKC!#REF!</definedName>
    <definedName name="外部資料_254" localSheetId="1">財報紅綠燈!#REF!</definedName>
    <definedName name="外部資料_2540" localSheetId="1">財報紅綠燈!#REF!</definedName>
    <definedName name="外部資料_2541" localSheetId="1">財報紅綠燈!#REF!</definedName>
    <definedName name="外部資料_2543" localSheetId="1">財報紅綠燈!#REF!</definedName>
    <definedName name="外部資料_2544" localSheetId="1">財報紅綠燈!#REF!</definedName>
    <definedName name="外部資料_2545" localSheetId="1">財報紅綠燈!#REF!</definedName>
    <definedName name="外部資料_2547" localSheetId="1">財報紅綠燈!#REF!</definedName>
    <definedName name="外部資料_2548" localSheetId="1">財報紅綠燈!#REF!</definedName>
    <definedName name="外部資料_2549" localSheetId="1">財報紅綠燈!#REF!</definedName>
    <definedName name="外部資料_255" localSheetId="8">PKA!#REF!</definedName>
    <definedName name="外部資料_255" localSheetId="9">PKB!#REF!</definedName>
    <definedName name="外部資料_255" localSheetId="10">PKC!#REF!</definedName>
    <definedName name="外部資料_2551" localSheetId="1">財報紅綠燈!#REF!</definedName>
    <definedName name="外部資料_2552" localSheetId="1">財報紅綠燈!#REF!</definedName>
    <definedName name="外部資料_2553" localSheetId="1">財報紅綠燈!#REF!</definedName>
    <definedName name="外部資料_2555" localSheetId="1">財報紅綠燈!#REF!</definedName>
    <definedName name="外部資料_2556" localSheetId="1">財報紅綠燈!#REF!</definedName>
    <definedName name="外部資料_2557" localSheetId="1">財報紅綠燈!#REF!</definedName>
    <definedName name="外部資料_2559" localSheetId="1">財報紅綠燈!#REF!</definedName>
    <definedName name="外部資料_256" localSheetId="8">PKA!#REF!</definedName>
    <definedName name="外部資料_256" localSheetId="9">PKB!#REF!</definedName>
    <definedName name="外部資料_256" localSheetId="10">PKC!#REF!</definedName>
    <definedName name="外部資料_256" localSheetId="1">財報紅綠燈!#REF!</definedName>
    <definedName name="外部資料_2560" localSheetId="1">財報紅綠燈!#REF!</definedName>
    <definedName name="外部資料_2561" localSheetId="1">財報紅綠燈!#REF!</definedName>
    <definedName name="外部資料_2563" localSheetId="1">財報紅綠燈!#REF!</definedName>
    <definedName name="外部資料_2564" localSheetId="1">財報紅綠燈!#REF!</definedName>
    <definedName name="外部資料_2565" localSheetId="1">財報紅綠燈!#REF!</definedName>
    <definedName name="外部資料_2567" localSheetId="1">財報紅綠燈!#REF!</definedName>
    <definedName name="外部資料_2568" localSheetId="1">財報紅綠燈!#REF!</definedName>
    <definedName name="外部資料_2569" localSheetId="1">財報紅綠燈!#REF!</definedName>
    <definedName name="外部資料_257" localSheetId="8">PKA!#REF!</definedName>
    <definedName name="外部資料_257" localSheetId="9">PKB!#REF!</definedName>
    <definedName name="外部資料_257" localSheetId="10">PKC!#REF!</definedName>
    <definedName name="外部資料_257" localSheetId="1">財報紅綠燈!#REF!</definedName>
    <definedName name="外部資料_2571" localSheetId="1">財報紅綠燈!#REF!</definedName>
    <definedName name="外部資料_2572" localSheetId="1">財報紅綠燈!#REF!</definedName>
    <definedName name="外部資料_2573" localSheetId="1">財報紅綠燈!#REF!</definedName>
    <definedName name="外部資料_2575" localSheetId="1">財報紅綠燈!#REF!</definedName>
    <definedName name="外部資料_2576" localSheetId="1">財報紅綠燈!#REF!</definedName>
    <definedName name="外部資料_2577" localSheetId="1">財報紅綠燈!#REF!</definedName>
    <definedName name="外部資料_2579" localSheetId="1">財報紅綠燈!#REF!</definedName>
    <definedName name="外部資料_258" localSheetId="8">PKA!#REF!</definedName>
    <definedName name="外部資料_258" localSheetId="9">PKB!#REF!</definedName>
    <definedName name="外部資料_258" localSheetId="10">PKC!#REF!</definedName>
    <definedName name="外部資料_258" localSheetId="1">財報紅綠燈!#REF!</definedName>
    <definedName name="外部資料_2580" localSheetId="1">財報紅綠燈!#REF!</definedName>
    <definedName name="外部資料_2581" localSheetId="1">財報紅綠燈!#REF!</definedName>
    <definedName name="外部資料_2583" localSheetId="1">財報紅綠燈!#REF!</definedName>
    <definedName name="外部資料_2584" localSheetId="1">財報紅綠燈!#REF!</definedName>
    <definedName name="外部資料_2585" localSheetId="1">財報紅綠燈!#REF!</definedName>
    <definedName name="外部資料_2587" localSheetId="1">財報紅綠燈!#REF!</definedName>
    <definedName name="外部資料_2588" localSheetId="1">財報紅綠燈!#REF!</definedName>
    <definedName name="外部資料_2589" localSheetId="1">財報紅綠燈!#REF!</definedName>
    <definedName name="外部資料_259" localSheetId="8">PKA!#REF!</definedName>
    <definedName name="外部資料_259" localSheetId="9">PKB!#REF!</definedName>
    <definedName name="外部資料_259" localSheetId="10">PKC!#REF!</definedName>
    <definedName name="外部資料_2591" localSheetId="1">財報紅綠燈!#REF!</definedName>
    <definedName name="外部資料_2592" localSheetId="1">財報紅綠燈!#REF!</definedName>
    <definedName name="外部資料_2593" localSheetId="1">財報紅綠燈!#REF!</definedName>
    <definedName name="外部資料_2595" localSheetId="1">財報紅綠燈!#REF!</definedName>
    <definedName name="外部資料_2596" localSheetId="1">財報紅綠燈!#REF!</definedName>
    <definedName name="外部資料_2597" localSheetId="1">財報紅綠燈!#REF!</definedName>
    <definedName name="外部資料_2599" localSheetId="1">財報紅綠燈!#REF!</definedName>
    <definedName name="外部資料_26" localSheetId="8">PKA!#REF!</definedName>
    <definedName name="外部資料_26" localSheetId="9">PKB!#REF!</definedName>
    <definedName name="外部資料_26" localSheetId="10">PKC!#REF!</definedName>
    <definedName name="外部資料_26" localSheetId="1">財報紅綠燈!#REF!</definedName>
    <definedName name="外部資料_26" localSheetId="5">評比系統!#REF!</definedName>
    <definedName name="外部資料_26" localSheetId="3">篩股系統!#REF!</definedName>
    <definedName name="外部資料_260" localSheetId="8">PKA!#REF!</definedName>
    <definedName name="外部資料_260" localSheetId="9">PKB!#REF!</definedName>
    <definedName name="外部資料_260" localSheetId="10">PKC!#REF!</definedName>
    <definedName name="外部資料_260" localSheetId="1">財報紅綠燈!#REF!</definedName>
    <definedName name="外部資料_2600" localSheetId="1">財報紅綠燈!#REF!</definedName>
    <definedName name="外部資料_2601" localSheetId="1">財報紅綠燈!#REF!</definedName>
    <definedName name="外部資料_2603" localSheetId="1">財報紅綠燈!#REF!</definedName>
    <definedName name="外部資料_2604" localSheetId="1">財報紅綠燈!#REF!</definedName>
    <definedName name="外部資料_2605" localSheetId="1">財報紅綠燈!#REF!</definedName>
    <definedName name="外部資料_2607" localSheetId="1">財報紅綠燈!#REF!</definedName>
    <definedName name="外部資料_2608" localSheetId="1">財報紅綠燈!#REF!</definedName>
    <definedName name="外部資料_261" localSheetId="8">PKA!#REF!</definedName>
    <definedName name="外部資料_261" localSheetId="9">PKB!#REF!</definedName>
    <definedName name="外部資料_261" localSheetId="10">PKC!#REF!</definedName>
    <definedName name="外部資料_261" localSheetId="1">財報紅綠燈!#REF!</definedName>
    <definedName name="外部資料_2610" localSheetId="1">財報紅綠燈!#REF!</definedName>
    <definedName name="外部資料_2611" localSheetId="1">財報紅綠燈!#REF!</definedName>
    <definedName name="外部資料_2612" localSheetId="1">財報紅綠燈!#REF!</definedName>
    <definedName name="外部資料_2614" localSheetId="1">財報紅綠燈!#REF!</definedName>
    <definedName name="外部資料_2615" localSheetId="1">財報紅綠燈!#REF!</definedName>
    <definedName name="外部資料_2616" localSheetId="1">財報紅綠燈!#REF!</definedName>
    <definedName name="外部資料_2618" localSheetId="1">財報紅綠燈!#REF!</definedName>
    <definedName name="外部資料_2619" localSheetId="1">財報紅綠燈!#REF!</definedName>
    <definedName name="外部資料_262" localSheetId="8">PKA!#REF!</definedName>
    <definedName name="外部資料_262" localSheetId="9">PKB!#REF!</definedName>
    <definedName name="外部資料_262" localSheetId="10">PKC!#REF!</definedName>
    <definedName name="外部資料_262" localSheetId="1">財報紅綠燈!#REF!</definedName>
    <definedName name="外部資料_2621" localSheetId="1">財報紅綠燈!#REF!</definedName>
    <definedName name="外部資料_2622" localSheetId="1">財報紅綠燈!#REF!</definedName>
    <definedName name="外部資料_2623" localSheetId="1">財報紅綠燈!#REF!</definedName>
    <definedName name="外部資料_2625" localSheetId="1">財報紅綠燈!#REF!</definedName>
    <definedName name="外部資料_2626" localSheetId="1">財報紅綠燈!#REF!</definedName>
    <definedName name="外部資料_2627" localSheetId="1">財報紅綠燈!#REF!</definedName>
    <definedName name="外部資料_2629" localSheetId="1">財報紅綠燈!#REF!</definedName>
    <definedName name="外部資料_263" localSheetId="8">PKA!#REF!</definedName>
    <definedName name="外部資料_263" localSheetId="9">PKB!#REF!</definedName>
    <definedName name="外部資料_263" localSheetId="10">PKC!#REF!</definedName>
    <definedName name="外部資料_2630" localSheetId="1">財報紅綠燈!#REF!</definedName>
    <definedName name="外部資料_2631" localSheetId="1">財報紅綠燈!#REF!</definedName>
    <definedName name="外部資料_2633" localSheetId="1">財報紅綠燈!#REF!</definedName>
    <definedName name="外部資料_2634" localSheetId="1">財報紅綠燈!#REF!</definedName>
    <definedName name="外部資料_2635" localSheetId="1">財報紅綠燈!#REF!</definedName>
    <definedName name="外部資料_2637" localSheetId="1">財報紅綠燈!#REF!</definedName>
    <definedName name="外部資料_2638" localSheetId="1">財報紅綠燈!#REF!</definedName>
    <definedName name="外部資料_2639" localSheetId="1">財報紅綠燈!#REF!</definedName>
    <definedName name="外部資料_264" localSheetId="8">PKA!#REF!</definedName>
    <definedName name="外部資料_264" localSheetId="9">PKB!#REF!</definedName>
    <definedName name="外部資料_264" localSheetId="10">PKC!#REF!</definedName>
    <definedName name="外部資料_264" localSheetId="1">財報紅綠燈!#REF!</definedName>
    <definedName name="外部資料_2641" localSheetId="1">財報紅綠燈!#REF!</definedName>
    <definedName name="外部資料_2642" localSheetId="1">財報紅綠燈!#REF!</definedName>
    <definedName name="外部資料_2643" localSheetId="1">財報紅綠燈!#REF!</definedName>
    <definedName name="外部資料_2645" localSheetId="1">財報紅綠燈!#REF!</definedName>
    <definedName name="外部資料_2646" localSheetId="1">財報紅綠燈!#REF!</definedName>
    <definedName name="外部資料_2647" localSheetId="1">財報紅綠燈!#REF!</definedName>
    <definedName name="外部資料_2649" localSheetId="1">財報紅綠燈!#REF!</definedName>
    <definedName name="外部資料_265" localSheetId="8">PKA!#REF!</definedName>
    <definedName name="外部資料_265" localSheetId="9">PKB!#REF!</definedName>
    <definedName name="外部資料_265" localSheetId="10">PKC!#REF!</definedName>
    <definedName name="外部資料_265" localSheetId="1">財報紅綠燈!#REF!</definedName>
    <definedName name="外部資料_2650" localSheetId="1">財報紅綠燈!#REF!</definedName>
    <definedName name="外部資料_2651" localSheetId="1">財報紅綠燈!#REF!</definedName>
    <definedName name="外部資料_2653" localSheetId="1">財報紅綠燈!#REF!</definedName>
    <definedName name="外部資料_2654" localSheetId="1">財報紅綠燈!#REF!</definedName>
    <definedName name="外部資料_2655" localSheetId="1">財報紅綠燈!#REF!</definedName>
    <definedName name="外部資料_2657" localSheetId="1">財報紅綠燈!#REF!</definedName>
    <definedName name="外部資料_2658" localSheetId="1">財報紅綠燈!#REF!</definedName>
    <definedName name="外部資料_2659" localSheetId="1">財報紅綠燈!#REF!</definedName>
    <definedName name="外部資料_266" localSheetId="8">PKA!#REF!</definedName>
    <definedName name="外部資料_266" localSheetId="9">PKB!#REF!</definedName>
    <definedName name="外部資料_266" localSheetId="10">PKC!#REF!</definedName>
    <definedName name="外部資料_266" localSheetId="1">財報紅綠燈!#REF!</definedName>
    <definedName name="外部資料_2661" localSheetId="1">財報紅綠燈!#REF!</definedName>
    <definedName name="外部資料_2662" localSheetId="1">財報紅綠燈!#REF!</definedName>
    <definedName name="外部資料_2663" localSheetId="1">財報紅綠燈!#REF!</definedName>
    <definedName name="外部資料_2665" localSheetId="1">財報紅綠燈!#REF!</definedName>
    <definedName name="外部資料_2666" localSheetId="1">財報紅綠燈!#REF!</definedName>
    <definedName name="外部資料_2667" localSheetId="1">財報紅綠燈!#REF!</definedName>
    <definedName name="外部資料_2669" localSheetId="1">財報紅綠燈!#REF!</definedName>
    <definedName name="外部資料_267" localSheetId="8">PKA!#REF!</definedName>
    <definedName name="外部資料_267" localSheetId="9">PKB!#REF!</definedName>
    <definedName name="外部資料_267" localSheetId="10">PKC!#REF!</definedName>
    <definedName name="外部資料_2670" localSheetId="1">財報紅綠燈!#REF!</definedName>
    <definedName name="外部資料_2671" localSheetId="1">財報紅綠燈!#REF!</definedName>
    <definedName name="外部資料_2673" localSheetId="1">財報紅綠燈!#REF!</definedName>
    <definedName name="外部資料_2674" localSheetId="1">財報紅綠燈!#REF!</definedName>
    <definedName name="外部資料_2675" localSheetId="1">財報紅綠燈!#REF!</definedName>
    <definedName name="外部資料_2677" localSheetId="1">財報紅綠燈!#REF!</definedName>
    <definedName name="外部資料_2678" localSheetId="1">財報紅綠燈!#REF!</definedName>
    <definedName name="外部資料_2679" localSheetId="1">財報紅綠燈!#REF!</definedName>
    <definedName name="外部資料_268" localSheetId="8">PKA!#REF!</definedName>
    <definedName name="外部資料_268" localSheetId="9">PKB!#REF!</definedName>
    <definedName name="外部資料_268" localSheetId="10">PKC!#REF!</definedName>
    <definedName name="外部資料_268" localSheetId="1">財報紅綠燈!#REF!</definedName>
    <definedName name="外部資料_2681" localSheetId="1">財報紅綠燈!#REF!</definedName>
    <definedName name="外部資料_2682" localSheetId="1">財報紅綠燈!#REF!</definedName>
    <definedName name="外部資料_2683" localSheetId="1">財報紅綠燈!#REF!</definedName>
    <definedName name="外部資料_2685" localSheetId="1">財報紅綠燈!#REF!</definedName>
    <definedName name="外部資料_2686" localSheetId="1">財報紅綠燈!#REF!</definedName>
    <definedName name="外部資料_2687" localSheetId="1">財報紅綠燈!#REF!</definedName>
    <definedName name="外部資料_2689" localSheetId="1">財報紅綠燈!#REF!</definedName>
    <definedName name="外部資料_269" localSheetId="8">PKA!#REF!</definedName>
    <definedName name="外部資料_269" localSheetId="9">PKB!#REF!</definedName>
    <definedName name="外部資料_269" localSheetId="10">PKC!#REF!</definedName>
    <definedName name="外部資料_269" localSheetId="1">財報紅綠燈!#REF!</definedName>
    <definedName name="外部資料_2690" localSheetId="1">財報紅綠燈!#REF!</definedName>
    <definedName name="外部資料_2691" localSheetId="1">財報紅綠燈!#REF!</definedName>
    <definedName name="外部資料_2693" localSheetId="1">財報紅綠燈!#REF!</definedName>
    <definedName name="外部資料_2694" localSheetId="1">財報紅綠燈!#REF!</definedName>
    <definedName name="外部資料_2695" localSheetId="1">財報紅綠燈!#REF!</definedName>
    <definedName name="外部資料_2697" localSheetId="1">財報紅綠燈!#REF!</definedName>
    <definedName name="外部資料_2698" localSheetId="1">財報紅綠燈!#REF!</definedName>
    <definedName name="外部資料_2699" localSheetId="1">財報紅綠燈!#REF!</definedName>
    <definedName name="外部資料_27" localSheetId="8">PKA!#REF!</definedName>
    <definedName name="外部資料_27" localSheetId="9">PKB!#REF!</definedName>
    <definedName name="外部資料_27" localSheetId="10">PKC!#REF!</definedName>
    <definedName name="外部資料_27" localSheetId="5">評比系統!#REF!</definedName>
    <definedName name="外部資料_27" localSheetId="3">篩股系統!#REF!</definedName>
    <definedName name="外部資料_270" localSheetId="8">PKA!#REF!</definedName>
    <definedName name="外部資料_270" localSheetId="9">PKB!#REF!</definedName>
    <definedName name="外部資料_270" localSheetId="10">PKC!#REF!</definedName>
    <definedName name="外部資料_270" localSheetId="1">財報紅綠燈!#REF!</definedName>
    <definedName name="外部資料_2701" localSheetId="1">財報紅綠燈!#REF!</definedName>
    <definedName name="外部資料_2702" localSheetId="1">財報紅綠燈!#REF!</definedName>
    <definedName name="外部資料_2703" localSheetId="1">財報紅綠燈!#REF!</definedName>
    <definedName name="外部資料_2705" localSheetId="1">財報紅綠燈!#REF!</definedName>
    <definedName name="外部資料_2706" localSheetId="1">財報紅綠燈!#REF!</definedName>
    <definedName name="外部資料_2707" localSheetId="1">財報紅綠燈!#REF!</definedName>
    <definedName name="外部資料_2709" localSheetId="1">財報紅綠燈!#REF!</definedName>
    <definedName name="外部資料_271" localSheetId="8">PKA!#REF!</definedName>
    <definedName name="外部資料_271" localSheetId="9">PKB!#REF!</definedName>
    <definedName name="外部資料_271" localSheetId="10">PKC!#REF!</definedName>
    <definedName name="外部資料_2710" localSheetId="1">財報紅綠燈!#REF!</definedName>
    <definedName name="外部資料_2711" localSheetId="1">財報紅綠燈!#REF!</definedName>
    <definedName name="外部資料_2713" localSheetId="1">財報紅綠燈!#REF!</definedName>
    <definedName name="外部資料_2714" localSheetId="1">財報紅綠燈!#REF!</definedName>
    <definedName name="外部資料_2715" localSheetId="1">財報紅綠燈!#REF!</definedName>
    <definedName name="外部資料_2717" localSheetId="1">財報紅綠燈!#REF!</definedName>
    <definedName name="外部資料_2718" localSheetId="1">財報紅綠燈!#REF!</definedName>
    <definedName name="外部資料_2719" localSheetId="1">財報紅綠燈!#REF!</definedName>
    <definedName name="外部資料_272" localSheetId="8">PKA!#REF!</definedName>
    <definedName name="外部資料_272" localSheetId="9">PKB!#REF!</definedName>
    <definedName name="外部資料_272" localSheetId="10">PKC!#REF!</definedName>
    <definedName name="外部資料_272" localSheetId="1">財報紅綠燈!#REF!</definedName>
    <definedName name="外部資料_2721" localSheetId="1">財報紅綠燈!#REF!</definedName>
    <definedName name="外部資料_2722" localSheetId="1">財報紅綠燈!#REF!</definedName>
    <definedName name="外部資料_2723" localSheetId="1">財報紅綠燈!#REF!</definedName>
    <definedName name="外部資料_2725" localSheetId="1">財報紅綠燈!#REF!</definedName>
    <definedName name="外部資料_2726" localSheetId="1">財報紅綠燈!#REF!</definedName>
    <definedName name="外部資料_2727" localSheetId="1">財報紅綠燈!#REF!</definedName>
    <definedName name="外部資料_2729" localSheetId="1">財報紅綠燈!#REF!</definedName>
    <definedName name="外部資料_273" localSheetId="8">PKA!#REF!</definedName>
    <definedName name="外部資料_273" localSheetId="9">PKB!#REF!</definedName>
    <definedName name="外部資料_273" localSheetId="10">PKC!#REF!</definedName>
    <definedName name="外部資料_273" localSheetId="1">財報紅綠燈!#REF!</definedName>
    <definedName name="外部資料_2730" localSheetId="1">財報紅綠燈!#REF!</definedName>
    <definedName name="外部資料_2731" localSheetId="1">財報紅綠燈!#REF!</definedName>
    <definedName name="外部資料_2733" localSheetId="1">財報紅綠燈!#REF!</definedName>
    <definedName name="外部資料_2734" localSheetId="1">財報紅綠燈!#REF!</definedName>
    <definedName name="外部資料_2735" localSheetId="1">財報紅綠燈!#REF!</definedName>
    <definedName name="外部資料_2737" localSheetId="1">財報紅綠燈!#REF!</definedName>
    <definedName name="外部資料_2738" localSheetId="1">財報紅綠燈!#REF!</definedName>
    <definedName name="外部資料_2739" localSheetId="1">財報紅綠燈!#REF!</definedName>
    <definedName name="外部資料_274" localSheetId="8">PKA!#REF!</definedName>
    <definedName name="外部資料_274" localSheetId="9">PKB!#REF!</definedName>
    <definedName name="外部資料_274" localSheetId="10">PKC!#REF!</definedName>
    <definedName name="外部資料_274" localSheetId="1">財報紅綠燈!#REF!</definedName>
    <definedName name="外部資料_2741" localSheetId="1">財報紅綠燈!#REF!</definedName>
    <definedName name="外部資料_2742" localSheetId="1">財報紅綠燈!#REF!</definedName>
    <definedName name="外部資料_2743" localSheetId="1">財報紅綠燈!#REF!</definedName>
    <definedName name="外部資料_2745" localSheetId="1">財報紅綠燈!#REF!</definedName>
    <definedName name="外部資料_2746" localSheetId="1">財報紅綠燈!#REF!</definedName>
    <definedName name="外部資料_2747" localSheetId="1">財報紅綠燈!#REF!</definedName>
    <definedName name="外部資料_2749" localSheetId="1">財報紅綠燈!#REF!</definedName>
    <definedName name="外部資料_275" localSheetId="8">PKA!#REF!</definedName>
    <definedName name="外部資料_275" localSheetId="9">PKB!#REF!</definedName>
    <definedName name="外部資料_275" localSheetId="10">PKC!#REF!</definedName>
    <definedName name="外部資料_2750" localSheetId="1">財報紅綠燈!#REF!</definedName>
    <definedName name="外部資料_2751" localSheetId="1">財報紅綠燈!#REF!</definedName>
    <definedName name="外部資料_2753" localSheetId="1">財報紅綠燈!#REF!</definedName>
    <definedName name="外部資料_2754" localSheetId="1">財報紅綠燈!#REF!</definedName>
    <definedName name="外部資料_2755" localSheetId="1">財報紅綠燈!#REF!</definedName>
    <definedName name="外部資料_2757" localSheetId="1">財報紅綠燈!#REF!</definedName>
    <definedName name="外部資料_2758" localSheetId="1">財報紅綠燈!#REF!</definedName>
    <definedName name="外部資料_2759" localSheetId="1">財報紅綠燈!#REF!</definedName>
    <definedName name="外部資料_276" localSheetId="8">PKA!#REF!</definedName>
    <definedName name="外部資料_276" localSheetId="9">PKB!#REF!</definedName>
    <definedName name="外部資料_276" localSheetId="10">PKC!#REF!</definedName>
    <definedName name="外部資料_276" localSheetId="1">財報紅綠燈!#REF!</definedName>
    <definedName name="外部資料_2761" localSheetId="1">財報紅綠燈!#REF!</definedName>
    <definedName name="外部資料_2762" localSheetId="1">財報紅綠燈!#REF!</definedName>
    <definedName name="外部資料_2763" localSheetId="1">財報紅綠燈!#REF!</definedName>
    <definedName name="外部資料_2765" localSheetId="1">財報紅綠燈!#REF!</definedName>
    <definedName name="外部資料_2766" localSheetId="1">財報紅綠燈!#REF!</definedName>
    <definedName name="外部資料_2767" localSheetId="1">財報紅綠燈!#REF!</definedName>
    <definedName name="外部資料_2769" localSheetId="1">財報紅綠燈!#REF!</definedName>
    <definedName name="外部資料_277" localSheetId="8">PKA!#REF!</definedName>
    <definedName name="外部資料_277" localSheetId="9">PKB!#REF!</definedName>
    <definedName name="外部資料_277" localSheetId="10">PKC!#REF!</definedName>
    <definedName name="外部資料_277" localSheetId="1">財報紅綠燈!#REF!</definedName>
    <definedName name="外部資料_2770" localSheetId="1">財報紅綠燈!#REF!</definedName>
    <definedName name="外部資料_2771" localSheetId="1">財報紅綠燈!#REF!</definedName>
    <definedName name="外部資料_2773" localSheetId="1">財報紅綠燈!#REF!</definedName>
    <definedName name="外部資料_2774" localSheetId="1">財報紅綠燈!#REF!</definedName>
    <definedName name="外部資料_2775" localSheetId="1">財報紅綠燈!#REF!</definedName>
    <definedName name="外部資料_2777" localSheetId="1">財報紅綠燈!#REF!</definedName>
    <definedName name="外部資料_2778" localSheetId="1">財報紅綠燈!#REF!</definedName>
    <definedName name="外部資料_2779" localSheetId="1">財報紅綠燈!#REF!</definedName>
    <definedName name="外部資料_278" localSheetId="8">PKA!#REF!</definedName>
    <definedName name="外部資料_278" localSheetId="9">PKB!#REF!</definedName>
    <definedName name="外部資料_278" localSheetId="10">PKC!#REF!</definedName>
    <definedName name="外部資料_278" localSheetId="1">財報紅綠燈!#REF!</definedName>
    <definedName name="外部資料_2781" localSheetId="1">財報紅綠燈!#REF!</definedName>
    <definedName name="外部資料_2782" localSheetId="1">財報紅綠燈!#REF!</definedName>
    <definedName name="外部資料_2783" localSheetId="1">財報紅綠燈!#REF!</definedName>
    <definedName name="外部資料_2785" localSheetId="1">財報紅綠燈!#REF!</definedName>
    <definedName name="外部資料_2786" localSheetId="1">財報紅綠燈!#REF!</definedName>
    <definedName name="外部資料_2787" localSheetId="1">財報紅綠燈!#REF!</definedName>
    <definedName name="外部資料_2789" localSheetId="1">財報紅綠燈!#REF!</definedName>
    <definedName name="外部資料_279" localSheetId="8">PKA!#REF!</definedName>
    <definedName name="外部資料_279" localSheetId="9">PKB!#REF!</definedName>
    <definedName name="外部資料_279" localSheetId="10">PKC!#REF!</definedName>
    <definedName name="外部資料_2790" localSheetId="1">財報紅綠燈!#REF!</definedName>
    <definedName name="外部資料_2792" localSheetId="1">財報紅綠燈!#REF!</definedName>
    <definedName name="外部資料_2793" localSheetId="1">財報紅綠燈!#REF!</definedName>
    <definedName name="外部資料_2794" localSheetId="1">財報紅綠燈!#REF!</definedName>
    <definedName name="外部資料_2796" localSheetId="1">財報紅綠燈!#REF!</definedName>
    <definedName name="外部資料_2797" localSheetId="1">財報紅綠燈!#REF!</definedName>
    <definedName name="外部資料_2798" localSheetId="1">財報紅綠燈!#REF!</definedName>
    <definedName name="外部資料_28" localSheetId="8">PKA!#REF!</definedName>
    <definedName name="外部資料_28" localSheetId="9">PKB!#REF!</definedName>
    <definedName name="外部資料_28" localSheetId="10">PKC!#REF!</definedName>
    <definedName name="外部資料_28" localSheetId="1">財報紅綠燈!#REF!</definedName>
    <definedName name="外部資料_28" localSheetId="5">評比系統!#REF!</definedName>
    <definedName name="外部資料_28" localSheetId="3">篩股系統!#REF!</definedName>
    <definedName name="外部資料_280" localSheetId="8">PKA!#REF!</definedName>
    <definedName name="外部資料_280" localSheetId="9">PKB!#REF!</definedName>
    <definedName name="外部資料_280" localSheetId="10">PKC!#REF!</definedName>
    <definedName name="外部資料_280" localSheetId="1">財報紅綠燈!#REF!</definedName>
    <definedName name="外部資料_2800" localSheetId="1">財報紅綠燈!#REF!</definedName>
    <definedName name="外部資料_2801" localSheetId="1">財報紅綠燈!#REF!</definedName>
    <definedName name="外部資料_2802" localSheetId="1">財報紅綠燈!#REF!</definedName>
    <definedName name="外部資料_2804" localSheetId="1">財報紅綠燈!#REF!</definedName>
    <definedName name="外部資料_2805" localSheetId="1">財報紅綠燈!#REF!</definedName>
    <definedName name="外部資料_2806" localSheetId="1">財報紅綠燈!#REF!</definedName>
    <definedName name="外部資料_2808" localSheetId="1">財報紅綠燈!#REF!</definedName>
    <definedName name="外部資料_2809" localSheetId="1">財報紅綠燈!#REF!</definedName>
    <definedName name="外部資料_281" localSheetId="8">PKA!#REF!</definedName>
    <definedName name="外部資料_281" localSheetId="9">PKB!#REF!</definedName>
    <definedName name="外部資料_281" localSheetId="10">PKC!#REF!</definedName>
    <definedName name="外部資料_281" localSheetId="1">財報紅綠燈!#REF!</definedName>
    <definedName name="外部資料_2810" localSheetId="1">財報紅綠燈!#REF!</definedName>
    <definedName name="外部資料_2812" localSheetId="1">財報紅綠燈!#REF!</definedName>
    <definedName name="外部資料_2813" localSheetId="1">財報紅綠燈!#REF!</definedName>
    <definedName name="外部資料_2814" localSheetId="1">財報紅綠燈!#REF!</definedName>
    <definedName name="外部資料_2816" localSheetId="1">財報紅綠燈!#REF!</definedName>
    <definedName name="外部資料_2817" localSheetId="1">財報紅綠燈!#REF!</definedName>
    <definedName name="外部資料_2818" localSheetId="1">財報紅綠燈!#REF!</definedName>
    <definedName name="外部資料_282" localSheetId="8">PKA!#REF!</definedName>
    <definedName name="外部資料_282" localSheetId="9">PKB!#REF!</definedName>
    <definedName name="外部資料_282" localSheetId="10">PKC!#REF!</definedName>
    <definedName name="外部資料_282" localSheetId="1">財報紅綠燈!#REF!</definedName>
    <definedName name="外部資料_2820" localSheetId="1">財報紅綠燈!#REF!</definedName>
    <definedName name="外部資料_2821" localSheetId="1">財報紅綠燈!#REF!</definedName>
    <definedName name="外部資料_2822" localSheetId="1">財報紅綠燈!#REF!</definedName>
    <definedName name="外部資料_2824" localSheetId="1">財報紅綠燈!#REF!</definedName>
    <definedName name="外部資料_2825" localSheetId="1">財報紅綠燈!#REF!</definedName>
    <definedName name="外部資料_2826" localSheetId="1">財報紅綠燈!#REF!</definedName>
    <definedName name="外部資料_2828" localSheetId="1">財報紅綠燈!#REF!</definedName>
    <definedName name="外部資料_2829" localSheetId="1">財報紅綠燈!#REF!</definedName>
    <definedName name="外部資料_283" localSheetId="8">PKA!#REF!</definedName>
    <definedName name="外部資料_283" localSheetId="9">PKB!#REF!</definedName>
    <definedName name="外部資料_283" localSheetId="10">PKC!#REF!</definedName>
    <definedName name="外部資料_2830" localSheetId="1">財報紅綠燈!#REF!</definedName>
    <definedName name="外部資料_2832" localSheetId="1">財報紅綠燈!#REF!</definedName>
    <definedName name="外部資料_2833" localSheetId="1">財報紅綠燈!#REF!</definedName>
    <definedName name="外部資料_2834" localSheetId="1">財報紅綠燈!#REF!</definedName>
    <definedName name="外部資料_2836" localSheetId="1">財報紅綠燈!#REF!</definedName>
    <definedName name="外部資料_2837" localSheetId="1">財報紅綠燈!#REF!</definedName>
    <definedName name="外部資料_2838" localSheetId="1">財報紅綠燈!#REF!</definedName>
    <definedName name="外部資料_284" localSheetId="8">PKA!#REF!</definedName>
    <definedName name="外部資料_284" localSheetId="9">PKB!#REF!</definedName>
    <definedName name="外部資料_284" localSheetId="10">PKC!#REF!</definedName>
    <definedName name="外部資料_284" localSheetId="1">財報紅綠燈!#REF!</definedName>
    <definedName name="外部資料_2840" localSheetId="1">財報紅綠燈!#REF!</definedName>
    <definedName name="外部資料_2841" localSheetId="1">財報紅綠燈!#REF!</definedName>
    <definedName name="外部資料_2842" localSheetId="1">財報紅綠燈!#REF!</definedName>
    <definedName name="外部資料_2844" localSheetId="1">財報紅綠燈!#REF!</definedName>
    <definedName name="外部資料_2845" localSheetId="1">財報紅綠燈!#REF!</definedName>
    <definedName name="外部資料_2846" localSheetId="1">財報紅綠燈!#REF!</definedName>
    <definedName name="外部資料_2848" localSheetId="1">財報紅綠燈!#REF!</definedName>
    <definedName name="外部資料_2849" localSheetId="1">財報紅綠燈!#REF!</definedName>
    <definedName name="外部資料_285" localSheetId="8">PKA!#REF!</definedName>
    <definedName name="外部資料_285" localSheetId="9">PKB!#REF!</definedName>
    <definedName name="外部資料_285" localSheetId="10">PKC!#REF!</definedName>
    <definedName name="外部資料_285" localSheetId="1">財報紅綠燈!#REF!</definedName>
    <definedName name="外部資料_2850" localSheetId="1">財報紅綠燈!#REF!</definedName>
    <definedName name="外部資料_2852" localSheetId="1">財報紅綠燈!#REF!</definedName>
    <definedName name="外部資料_2853" localSheetId="1">財報紅綠燈!#REF!</definedName>
    <definedName name="外部資料_2854" localSheetId="1">財報紅綠燈!#REF!</definedName>
    <definedName name="外部資料_2856" localSheetId="1">財報紅綠燈!#REF!</definedName>
    <definedName name="外部資料_2857" localSheetId="1">財報紅綠燈!#REF!</definedName>
    <definedName name="外部資料_2858" localSheetId="1">財報紅綠燈!#REF!</definedName>
    <definedName name="外部資料_286" localSheetId="8">PKA!#REF!</definedName>
    <definedName name="外部資料_286" localSheetId="9">PKB!#REF!</definedName>
    <definedName name="外部資料_286" localSheetId="10">PKC!#REF!</definedName>
    <definedName name="外部資料_286" localSheetId="1">財報紅綠燈!#REF!</definedName>
    <definedName name="外部資料_2860" localSheetId="1">財報紅綠燈!#REF!</definedName>
    <definedName name="外部資料_2861" localSheetId="1">財報紅綠燈!#REF!</definedName>
    <definedName name="外部資料_2862" localSheetId="1">財報紅綠燈!#REF!</definedName>
    <definedName name="外部資料_2864" localSheetId="1">財報紅綠燈!#REF!</definedName>
    <definedName name="外部資料_2865" localSheetId="1">財報紅綠燈!#REF!</definedName>
    <definedName name="外部資料_2866" localSheetId="1">財報紅綠燈!#REF!</definedName>
    <definedName name="外部資料_2868" localSheetId="1">財報紅綠燈!#REF!</definedName>
    <definedName name="外部資料_2869" localSheetId="1">財報紅綠燈!#REF!</definedName>
    <definedName name="外部資料_287" localSheetId="8">PKA!#REF!</definedName>
    <definedName name="外部資料_287" localSheetId="9">PKB!#REF!</definedName>
    <definedName name="外部資料_287" localSheetId="10">PKC!#REF!</definedName>
    <definedName name="外部資料_2870" localSheetId="1">財報紅綠燈!#REF!</definedName>
    <definedName name="外部資料_2872" localSheetId="1">財報紅綠燈!#REF!</definedName>
    <definedName name="外部資料_2873" localSheetId="1">財報紅綠燈!#REF!</definedName>
    <definedName name="外部資料_2874" localSheetId="1">財報紅綠燈!#REF!</definedName>
    <definedName name="外部資料_2876" localSheetId="1">財報紅綠燈!#REF!</definedName>
    <definedName name="外部資料_2877" localSheetId="1">財報紅綠燈!#REF!</definedName>
    <definedName name="外部資料_2878" localSheetId="1">財報紅綠燈!#REF!</definedName>
    <definedName name="外部資料_288" localSheetId="8">PKA!#REF!</definedName>
    <definedName name="外部資料_288" localSheetId="9">PKB!#REF!</definedName>
    <definedName name="外部資料_288" localSheetId="10">PKC!#REF!</definedName>
    <definedName name="外部資料_288" localSheetId="1">財報紅綠燈!#REF!</definedName>
    <definedName name="外部資料_2880" localSheetId="1">財報紅綠燈!#REF!</definedName>
    <definedName name="外部資料_2881" localSheetId="1">財報紅綠燈!#REF!</definedName>
    <definedName name="外部資料_2882" localSheetId="1">財報紅綠燈!#REF!</definedName>
    <definedName name="外部資料_2884" localSheetId="1">財報紅綠燈!#REF!</definedName>
    <definedName name="外部資料_2885" localSheetId="1">財報紅綠燈!#REF!</definedName>
    <definedName name="外部資料_2886" localSheetId="1">財報紅綠燈!#REF!</definedName>
    <definedName name="外部資料_2888" localSheetId="1">財報紅綠燈!#REF!</definedName>
    <definedName name="外部資料_2889" localSheetId="1">財報紅綠燈!#REF!</definedName>
    <definedName name="外部資料_289" localSheetId="8">PKA!#REF!</definedName>
    <definedName name="外部資料_289" localSheetId="9">PKB!#REF!</definedName>
    <definedName name="外部資料_289" localSheetId="10">PKC!#REF!</definedName>
    <definedName name="外部資料_289" localSheetId="1">財報紅綠燈!#REF!</definedName>
    <definedName name="外部資料_2890" localSheetId="1">財報紅綠燈!#REF!</definedName>
    <definedName name="外部資料_2892" localSheetId="1">財報紅綠燈!#REF!</definedName>
    <definedName name="外部資料_2893" localSheetId="1">財報紅綠燈!#REF!</definedName>
    <definedName name="外部資料_2894" localSheetId="1">財報紅綠燈!#REF!</definedName>
    <definedName name="外部資料_2896" localSheetId="1">財報紅綠燈!#REF!</definedName>
    <definedName name="外部資料_2897" localSheetId="1">財報紅綠燈!#REF!</definedName>
    <definedName name="外部資料_2898" localSheetId="1">財報紅綠燈!#REF!</definedName>
    <definedName name="外部資料_29" localSheetId="8">PKA!#REF!</definedName>
    <definedName name="外部資料_29" localSheetId="9">PKB!#REF!</definedName>
    <definedName name="外部資料_29" localSheetId="10">PKC!#REF!</definedName>
    <definedName name="外部資料_29" localSheetId="1">財報紅綠燈!#REF!</definedName>
    <definedName name="外部資料_29" localSheetId="5">評比系統!#REF!</definedName>
    <definedName name="外部資料_29" localSheetId="3">篩股系統!#REF!</definedName>
    <definedName name="外部資料_290" localSheetId="8">PKA!#REF!</definedName>
    <definedName name="外部資料_290" localSheetId="9">PKB!#REF!</definedName>
    <definedName name="外部資料_290" localSheetId="10">PKC!#REF!</definedName>
    <definedName name="外部資料_290" localSheetId="1">財報紅綠燈!#REF!</definedName>
    <definedName name="外部資料_2900" localSheetId="1">財報紅綠燈!#REF!</definedName>
    <definedName name="外部資料_2901" localSheetId="1">財報紅綠燈!#REF!</definedName>
    <definedName name="外部資料_2902" localSheetId="1">財報紅綠燈!#REF!</definedName>
    <definedName name="外部資料_2904" localSheetId="1">財報紅綠燈!#REF!</definedName>
    <definedName name="外部資料_2905" localSheetId="1">財報紅綠燈!#REF!</definedName>
    <definedName name="外部資料_2906" localSheetId="1">財報紅綠燈!#REF!</definedName>
    <definedName name="外部資料_2908" localSheetId="1">財報紅綠燈!#REF!</definedName>
    <definedName name="外部資料_2909" localSheetId="1">財報紅綠燈!#REF!</definedName>
    <definedName name="外部資料_291" localSheetId="8">PKA!#REF!</definedName>
    <definedName name="外部資料_291" localSheetId="9">PKB!#REF!</definedName>
    <definedName name="外部資料_291" localSheetId="10">PKC!#REF!</definedName>
    <definedName name="外部資料_2910" localSheetId="1">財報紅綠燈!#REF!</definedName>
    <definedName name="外部資料_2912" localSheetId="1">財報紅綠燈!#REF!</definedName>
    <definedName name="外部資料_2913" localSheetId="1">財報紅綠燈!#REF!</definedName>
    <definedName name="外部資料_2914" localSheetId="1">財報紅綠燈!#REF!</definedName>
    <definedName name="外部資料_2916" localSheetId="1">財報紅綠燈!#REF!</definedName>
    <definedName name="外部資料_2917" localSheetId="1">財報紅綠燈!#REF!</definedName>
    <definedName name="外部資料_2918" localSheetId="1">財報紅綠燈!#REF!</definedName>
    <definedName name="外部資料_292" localSheetId="8">PKA!#REF!</definedName>
    <definedName name="外部資料_292" localSheetId="9">PKB!#REF!</definedName>
    <definedName name="外部資料_292" localSheetId="10">PKC!#REF!</definedName>
    <definedName name="外部資料_292" localSheetId="1">財報紅綠燈!#REF!</definedName>
    <definedName name="外部資料_2920" localSheetId="1">財報紅綠燈!#REF!</definedName>
    <definedName name="外部資料_2921" localSheetId="1">財報紅綠燈!#REF!</definedName>
    <definedName name="外部資料_2922" localSheetId="1">財報紅綠燈!#REF!</definedName>
    <definedName name="外部資料_2924" localSheetId="1">財報紅綠燈!#REF!</definedName>
    <definedName name="外部資料_2925" localSheetId="1">財報紅綠燈!#REF!</definedName>
    <definedName name="外部資料_2926" localSheetId="1">財報紅綠燈!#REF!</definedName>
    <definedName name="外部資料_2928" localSheetId="1">財報紅綠燈!#REF!</definedName>
    <definedName name="外部資料_2929" localSheetId="1">財報紅綠燈!#REF!</definedName>
    <definedName name="外部資料_293" localSheetId="8">PKA!#REF!</definedName>
    <definedName name="外部資料_293" localSheetId="9">PKB!#REF!</definedName>
    <definedName name="外部資料_293" localSheetId="10">PKC!#REF!</definedName>
    <definedName name="外部資料_293" localSheetId="1">財報紅綠燈!#REF!</definedName>
    <definedName name="外部資料_2930" localSheetId="1">財報紅綠燈!#REF!</definedName>
    <definedName name="外部資料_2932" localSheetId="1">財報紅綠燈!#REF!</definedName>
    <definedName name="外部資料_2933" localSheetId="1">財報紅綠燈!#REF!</definedName>
    <definedName name="外部資料_2934" localSheetId="1">財報紅綠燈!#REF!</definedName>
    <definedName name="外部資料_2936" localSheetId="1">財報紅綠燈!#REF!</definedName>
    <definedName name="外部資料_2937" localSheetId="1">財報紅綠燈!#REF!</definedName>
    <definedName name="外部資料_2938" localSheetId="1">財報紅綠燈!#REF!</definedName>
    <definedName name="外部資料_294" localSheetId="8">PKA!#REF!</definedName>
    <definedName name="外部資料_294" localSheetId="9">PKB!#REF!</definedName>
    <definedName name="外部資料_294" localSheetId="10">PKC!#REF!</definedName>
    <definedName name="外部資料_294" localSheetId="1">財報紅綠燈!#REF!</definedName>
    <definedName name="外部資料_2940" localSheetId="1">財報紅綠燈!#REF!</definedName>
    <definedName name="外部資料_2941" localSheetId="1">財報紅綠燈!#REF!</definedName>
    <definedName name="外部資料_2942" localSheetId="1">財報紅綠燈!#REF!</definedName>
    <definedName name="外部資料_2944" localSheetId="1">財報紅綠燈!#REF!</definedName>
    <definedName name="外部資料_2945" localSheetId="1">財報紅綠燈!#REF!</definedName>
    <definedName name="外部資料_2946" localSheetId="1">財報紅綠燈!#REF!</definedName>
    <definedName name="外部資料_2948" localSheetId="1">財報紅綠燈!#REF!</definedName>
    <definedName name="外部資料_2949" localSheetId="1">財報紅綠燈!#REF!</definedName>
    <definedName name="外部資料_295" localSheetId="8">PKA!#REF!</definedName>
    <definedName name="外部資料_295" localSheetId="9">PKB!#REF!</definedName>
    <definedName name="外部資料_295" localSheetId="10">PKC!#REF!</definedName>
    <definedName name="外部資料_2950" localSheetId="1">財報紅綠燈!#REF!</definedName>
    <definedName name="外部資料_2952" localSheetId="1">財報紅綠燈!#REF!</definedName>
    <definedName name="外部資料_2953" localSheetId="1">財報紅綠燈!#REF!</definedName>
    <definedName name="外部資料_2954" localSheetId="1">財報紅綠燈!#REF!</definedName>
    <definedName name="外部資料_2956" localSheetId="1">財報紅綠燈!#REF!</definedName>
    <definedName name="外部資料_2957" localSheetId="1">財報紅綠燈!#REF!</definedName>
    <definedName name="外部資料_2958" localSheetId="1">財報紅綠燈!#REF!</definedName>
    <definedName name="外部資料_296" localSheetId="8">PKA!#REF!</definedName>
    <definedName name="外部資料_296" localSheetId="9">PKB!#REF!</definedName>
    <definedName name="外部資料_296" localSheetId="10">PKC!#REF!</definedName>
    <definedName name="外部資料_296" localSheetId="1">財報紅綠燈!#REF!</definedName>
    <definedName name="外部資料_2960" localSheetId="1">財報紅綠燈!#REF!</definedName>
    <definedName name="外部資料_2961" localSheetId="1">財報紅綠燈!#REF!</definedName>
    <definedName name="外部資料_2962" localSheetId="1">財報紅綠燈!#REF!</definedName>
    <definedName name="外部資料_2964" localSheetId="1">財報紅綠燈!#REF!</definedName>
    <definedName name="外部資料_2965" localSheetId="1">財報紅綠燈!#REF!</definedName>
    <definedName name="外部資料_2966" localSheetId="1">財報紅綠燈!#REF!</definedName>
    <definedName name="外部資料_2968" localSheetId="1">財報紅綠燈!#REF!</definedName>
    <definedName name="外部資料_2969" localSheetId="1">財報紅綠燈!#REF!</definedName>
    <definedName name="外部資料_297" localSheetId="8">PKA!#REF!</definedName>
    <definedName name="外部資料_297" localSheetId="9">PKB!#REF!</definedName>
    <definedName name="外部資料_297" localSheetId="10">PKC!#REF!</definedName>
    <definedName name="外部資料_297" localSheetId="1">財報紅綠燈!#REF!</definedName>
    <definedName name="外部資料_2970" localSheetId="1">財報紅綠燈!#REF!</definedName>
    <definedName name="外部資料_2972" localSheetId="1">財報紅綠燈!#REF!</definedName>
    <definedName name="外部資料_2973" localSheetId="1">財報紅綠燈!#REF!</definedName>
    <definedName name="外部資料_2974" localSheetId="1">財報紅綠燈!#REF!</definedName>
    <definedName name="外部資料_2976" localSheetId="1">財報紅綠燈!#REF!</definedName>
    <definedName name="外部資料_2977" localSheetId="1">財報紅綠燈!#REF!</definedName>
    <definedName name="外部資料_2978" localSheetId="1">財報紅綠燈!#REF!</definedName>
    <definedName name="外部資料_298" localSheetId="8">PKA!#REF!</definedName>
    <definedName name="外部資料_298" localSheetId="9">PKB!#REF!</definedName>
    <definedName name="外部資料_298" localSheetId="10">PKC!#REF!</definedName>
    <definedName name="外部資料_298" localSheetId="1">財報紅綠燈!#REF!</definedName>
    <definedName name="外部資料_2980" localSheetId="1">財報紅綠燈!#REF!</definedName>
    <definedName name="外部資料_2981" localSheetId="1">財報紅綠燈!#REF!</definedName>
    <definedName name="外部資料_2982" localSheetId="1">財報紅綠燈!#REF!</definedName>
    <definedName name="外部資料_2984" localSheetId="1">財報紅綠燈!#REF!</definedName>
    <definedName name="外部資料_2985" localSheetId="1">財報紅綠燈!#REF!</definedName>
    <definedName name="外部資料_2986" localSheetId="1">財報紅綠燈!#REF!</definedName>
    <definedName name="外部資料_2988" localSheetId="1">財報紅綠燈!#REF!</definedName>
    <definedName name="外部資料_2989" localSheetId="1">財報紅綠燈!#REF!</definedName>
    <definedName name="外部資料_299" localSheetId="8">PKA!#REF!</definedName>
    <definedName name="外部資料_299" localSheetId="9">PKB!#REF!</definedName>
    <definedName name="外部資料_299" localSheetId="10">PKC!#REF!</definedName>
    <definedName name="外部資料_2990" localSheetId="1">財報紅綠燈!#REF!</definedName>
    <definedName name="外部資料_2992" localSheetId="1">財報紅綠燈!#REF!</definedName>
    <definedName name="外部資料_2993" localSheetId="1">財報紅綠燈!#REF!</definedName>
    <definedName name="外部資料_2994" localSheetId="1">財報紅綠燈!#REF!</definedName>
    <definedName name="外部資料_2996" localSheetId="1">財報紅綠燈!#REF!</definedName>
    <definedName name="外部資料_2997" localSheetId="1">財報紅綠燈!#REF!</definedName>
    <definedName name="外部資料_2998" localSheetId="1">財報紅綠燈!#REF!</definedName>
    <definedName name="外部資料_3" localSheetId="8">PKA!#REF!</definedName>
    <definedName name="外部資料_3" localSheetId="9">PKB!#REF!</definedName>
    <definedName name="外部資料_3" localSheetId="10">PKC!#REF!</definedName>
    <definedName name="外部資料_3" localSheetId="11">PRICE!#REF!</definedName>
    <definedName name="外部資料_3" localSheetId="1">財報紅綠燈!#REF!</definedName>
    <definedName name="外部資料_3" localSheetId="5">評比系統!#REF!</definedName>
    <definedName name="外部資料_3" localSheetId="3">篩股系統!#REF!</definedName>
    <definedName name="外部資料_30" localSheetId="8">PKA!#REF!</definedName>
    <definedName name="外部資料_30" localSheetId="9">PKB!#REF!</definedName>
    <definedName name="外部資料_30" localSheetId="10">PKC!#REF!</definedName>
    <definedName name="外部資料_30" localSheetId="1">財報紅綠燈!#REF!</definedName>
    <definedName name="外部資料_30" localSheetId="5">評比系統!#REF!</definedName>
    <definedName name="外部資料_30" localSheetId="3">篩股系統!#REF!</definedName>
    <definedName name="外部資料_300" localSheetId="8">PKA!#REF!</definedName>
    <definedName name="外部資料_300" localSheetId="9">PKB!#REF!</definedName>
    <definedName name="外部資料_300" localSheetId="10">PKC!#REF!</definedName>
    <definedName name="外部資料_300" localSheetId="1">財報紅綠燈!#REF!</definedName>
    <definedName name="外部資料_3000" localSheetId="1">財報紅綠燈!#REF!</definedName>
    <definedName name="外部資料_3001" localSheetId="1">財報紅綠燈!#REF!</definedName>
    <definedName name="外部資料_3002" localSheetId="1">財報紅綠燈!#REF!</definedName>
    <definedName name="外部資料_3004" localSheetId="1">財報紅綠燈!#REF!</definedName>
    <definedName name="外部資料_3005" localSheetId="1">財報紅綠燈!#REF!</definedName>
    <definedName name="外部資料_3006" localSheetId="1">財報紅綠燈!#REF!</definedName>
    <definedName name="外部資料_3008" localSheetId="1">財報紅綠燈!#REF!</definedName>
    <definedName name="外部資料_3009" localSheetId="1">財報紅綠燈!#REF!</definedName>
    <definedName name="外部資料_301" localSheetId="8">PKA!#REF!</definedName>
    <definedName name="外部資料_301" localSheetId="9">PKB!#REF!</definedName>
    <definedName name="外部資料_301" localSheetId="10">PKC!#REF!</definedName>
    <definedName name="外部資料_301" localSheetId="1">財報紅綠燈!#REF!</definedName>
    <definedName name="外部資料_3011" localSheetId="1">財報紅綠燈!#REF!</definedName>
    <definedName name="外部資料_3012" localSheetId="1">財報紅綠燈!#REF!</definedName>
    <definedName name="外部資料_3013" localSheetId="1">財報紅綠燈!#REF!</definedName>
    <definedName name="外部資料_3015" localSheetId="1">財報紅綠燈!#REF!</definedName>
    <definedName name="外部資料_3016" localSheetId="1">財報紅綠燈!#REF!</definedName>
    <definedName name="外部資料_3017" localSheetId="1">財報紅綠燈!#REF!</definedName>
    <definedName name="外部資料_3019" localSheetId="1">財報紅綠燈!#REF!</definedName>
    <definedName name="外部資料_302" localSheetId="8">PKA!#REF!</definedName>
    <definedName name="外部資料_302" localSheetId="9">PKB!#REF!</definedName>
    <definedName name="外部資料_302" localSheetId="10">PKC!#REF!</definedName>
    <definedName name="外部資料_302" localSheetId="1">財報紅綠燈!#REF!</definedName>
    <definedName name="外部資料_3020" localSheetId="1">財報紅綠燈!#REF!</definedName>
    <definedName name="外部資料_3022" localSheetId="1">財報紅綠燈!#REF!</definedName>
    <definedName name="外部資料_3023" localSheetId="1">財報紅綠燈!#REF!</definedName>
    <definedName name="外部資料_3024" localSheetId="1">財報紅綠燈!#REF!</definedName>
    <definedName name="外部資料_3026" localSheetId="1">財報紅綠燈!#REF!</definedName>
    <definedName name="外部資料_3027" localSheetId="1">財報紅綠燈!#REF!</definedName>
    <definedName name="外部資料_3028" localSheetId="1">財報紅綠燈!#REF!</definedName>
    <definedName name="外部資料_303" localSheetId="8">PKA!#REF!</definedName>
    <definedName name="外部資料_303" localSheetId="9">PKB!#REF!</definedName>
    <definedName name="外部資料_303" localSheetId="10">PKC!#REF!</definedName>
    <definedName name="外部資料_3030" localSheetId="1">財報紅綠燈!#REF!</definedName>
    <definedName name="外部資料_3031" localSheetId="1">財報紅綠燈!#REF!</definedName>
    <definedName name="外部資料_3032" localSheetId="1">財報紅綠燈!#REF!</definedName>
    <definedName name="外部資料_3034" localSheetId="1">財報紅綠燈!#REF!</definedName>
    <definedName name="外部資料_3035" localSheetId="1">財報紅綠燈!#REF!</definedName>
    <definedName name="外部資料_3036" localSheetId="1">財報紅綠燈!#REF!</definedName>
    <definedName name="外部資料_3038" localSheetId="1">財報紅綠燈!#REF!</definedName>
    <definedName name="外部資料_3039" localSheetId="1">財報紅綠燈!#REF!</definedName>
    <definedName name="外部資料_304" localSheetId="8">PKA!#REF!</definedName>
    <definedName name="外部資料_304" localSheetId="9">PKB!#REF!</definedName>
    <definedName name="外部資料_304" localSheetId="10">PKC!#REF!</definedName>
    <definedName name="外部資料_304" localSheetId="1">財報紅綠燈!#REF!</definedName>
    <definedName name="外部資料_3040" localSheetId="1">財報紅綠燈!#REF!</definedName>
    <definedName name="外部資料_3042" localSheetId="1">財報紅綠燈!#REF!</definedName>
    <definedName name="外部資料_3043" localSheetId="1">財報紅綠燈!#REF!</definedName>
    <definedName name="外部資料_3044" localSheetId="1">財報紅綠燈!#REF!</definedName>
    <definedName name="外部資料_3046" localSheetId="1">財報紅綠燈!#REF!</definedName>
    <definedName name="外部資料_3047" localSheetId="1">財報紅綠燈!#REF!</definedName>
    <definedName name="外部資料_3048" localSheetId="1">財報紅綠燈!#REF!</definedName>
    <definedName name="外部資料_305" localSheetId="8">PKA!#REF!</definedName>
    <definedName name="外部資料_305" localSheetId="9">PKB!#REF!</definedName>
    <definedName name="外部資料_305" localSheetId="10">PKC!#REF!</definedName>
    <definedName name="外部資料_305" localSheetId="1">財報紅綠燈!#REF!</definedName>
    <definedName name="外部資料_3050" localSheetId="1">財報紅綠燈!#REF!</definedName>
    <definedName name="外部資料_3051" localSheetId="1">財報紅綠燈!#REF!</definedName>
    <definedName name="外部資料_3053" localSheetId="1">財報紅綠燈!#REF!</definedName>
    <definedName name="外部資料_3054" localSheetId="1">財報紅綠燈!#REF!</definedName>
    <definedName name="外部資料_3056" localSheetId="1">財報紅綠燈!#REF!</definedName>
    <definedName name="外部資料_3057" localSheetId="1">財報紅綠燈!#REF!</definedName>
    <definedName name="外部資料_3058" localSheetId="1">財報紅綠燈!#REF!</definedName>
    <definedName name="外部資料_306" localSheetId="8">PKA!#REF!</definedName>
    <definedName name="外部資料_306" localSheetId="9">PKB!#REF!</definedName>
    <definedName name="外部資料_306" localSheetId="10">PKC!#REF!</definedName>
    <definedName name="外部資料_306" localSheetId="1">財報紅綠燈!#REF!</definedName>
    <definedName name="外部資料_3060" localSheetId="1">財報紅綠燈!#REF!</definedName>
    <definedName name="外部資料_3061" localSheetId="1">財報紅綠燈!#REF!</definedName>
    <definedName name="外部資料_3062" localSheetId="1">財報紅綠燈!#REF!</definedName>
    <definedName name="外部資料_3064" localSheetId="1">財報紅綠燈!#REF!</definedName>
    <definedName name="外部資料_3065" localSheetId="1">財報紅綠燈!#REF!</definedName>
    <definedName name="外部資料_3066" localSheetId="1">財報紅綠燈!#REF!</definedName>
    <definedName name="外部資料_3068" localSheetId="1">財報紅綠燈!#REF!</definedName>
    <definedName name="外部資料_3069" localSheetId="1">財報紅綠燈!#REF!</definedName>
    <definedName name="外部資料_307" localSheetId="8">PKA!#REF!</definedName>
    <definedName name="外部資料_307" localSheetId="9">PKB!#REF!</definedName>
    <definedName name="外部資料_307" localSheetId="10">PKC!#REF!</definedName>
    <definedName name="外部資料_3070" localSheetId="1">財報紅綠燈!#REF!</definedName>
    <definedName name="外部資料_3072" localSheetId="1">財報紅綠燈!#REF!</definedName>
    <definedName name="外部資料_3073" localSheetId="1">財報紅綠燈!#REF!</definedName>
    <definedName name="外部資料_3074" localSheetId="1">財報紅綠燈!#REF!</definedName>
    <definedName name="外部資料_3076" localSheetId="1">財報紅綠燈!#REF!</definedName>
    <definedName name="外部資料_3077" localSheetId="1">財報紅綠燈!#REF!</definedName>
    <definedName name="外部資料_3078" localSheetId="1">財報紅綠燈!#REF!</definedName>
    <definedName name="外部資料_308" localSheetId="8">PKA!#REF!</definedName>
    <definedName name="外部資料_308" localSheetId="9">PKB!#REF!</definedName>
    <definedName name="外部資料_308" localSheetId="10">PKC!#REF!</definedName>
    <definedName name="外部資料_308" localSheetId="1">財報紅綠燈!#REF!</definedName>
    <definedName name="外部資料_3080" localSheetId="1">財報紅綠燈!#REF!</definedName>
    <definedName name="外部資料_3081" localSheetId="1">財報紅綠燈!#REF!</definedName>
    <definedName name="外部資料_3082" localSheetId="1">財報紅綠燈!#REF!</definedName>
    <definedName name="外部資料_3084" localSheetId="1">財報紅綠燈!#REF!</definedName>
    <definedName name="外部資料_3085" localSheetId="1">財報紅綠燈!#REF!</definedName>
    <definedName name="外部資料_3086" localSheetId="1">財報紅綠燈!#REF!</definedName>
    <definedName name="外部資料_3088" localSheetId="1">財報紅綠燈!#REF!</definedName>
    <definedName name="外部資料_3089" localSheetId="1">財報紅綠燈!#REF!</definedName>
    <definedName name="外部資料_309" localSheetId="8">PKA!#REF!</definedName>
    <definedName name="外部資料_309" localSheetId="9">PKB!#REF!</definedName>
    <definedName name="外部資料_309" localSheetId="10">PKC!#REF!</definedName>
    <definedName name="外部資料_309" localSheetId="1">財報紅綠燈!#REF!</definedName>
    <definedName name="外部資料_3090" localSheetId="1">財報紅綠燈!#REF!</definedName>
    <definedName name="外部資料_3092" localSheetId="1">財報紅綠燈!#REF!</definedName>
    <definedName name="外部資料_3093" localSheetId="1">財報紅綠燈!#REF!</definedName>
    <definedName name="外部資料_3094" localSheetId="1">財報紅綠燈!#REF!</definedName>
    <definedName name="外部資料_3096" localSheetId="1">財報紅綠燈!#REF!</definedName>
    <definedName name="外部資料_3097" localSheetId="1">財報紅綠燈!#REF!</definedName>
    <definedName name="外部資料_3098" localSheetId="1">財報紅綠燈!#REF!</definedName>
    <definedName name="外部資料_31" localSheetId="8">PKA!#REF!</definedName>
    <definedName name="外部資料_31" localSheetId="9">PKB!#REF!</definedName>
    <definedName name="外部資料_31" localSheetId="10">PKC!#REF!</definedName>
    <definedName name="外部資料_31" localSheetId="5">評比系統!#REF!</definedName>
    <definedName name="外部資料_31" localSheetId="3">篩股系統!#REF!</definedName>
    <definedName name="外部資料_310" localSheetId="8">PKA!#REF!</definedName>
    <definedName name="外部資料_310" localSheetId="9">PKB!#REF!</definedName>
    <definedName name="外部資料_310" localSheetId="10">PKC!#REF!</definedName>
    <definedName name="外部資料_310" localSheetId="1">財報紅綠燈!#REF!</definedName>
    <definedName name="外部資料_3100" localSheetId="1">財報紅綠燈!#REF!</definedName>
    <definedName name="外部資料_3101" localSheetId="1">財報紅綠燈!#REF!</definedName>
    <definedName name="外部資料_3102" localSheetId="1">財報紅綠燈!#REF!</definedName>
    <definedName name="外部資料_3104" localSheetId="1">財報紅綠燈!#REF!</definedName>
    <definedName name="外部資料_3105" localSheetId="1">財報紅綠燈!#REF!</definedName>
    <definedName name="外部資料_3106" localSheetId="1">財報紅綠燈!#REF!</definedName>
    <definedName name="外部資料_3108" localSheetId="1">財報紅綠燈!#REF!</definedName>
    <definedName name="外部資料_3109" localSheetId="1">財報紅綠燈!#REF!</definedName>
    <definedName name="外部資料_311" localSheetId="8">PKA!#REF!</definedName>
    <definedName name="外部資料_311" localSheetId="9">PKB!#REF!</definedName>
    <definedName name="外部資料_311" localSheetId="10">PKC!#REF!</definedName>
    <definedName name="外部資料_3110" localSheetId="1">財報紅綠燈!#REF!</definedName>
    <definedName name="外部資料_3112" localSheetId="1">財報紅綠燈!#REF!</definedName>
    <definedName name="外部資料_3113" localSheetId="1">財報紅綠燈!#REF!</definedName>
    <definedName name="外部資料_3114" localSheetId="1">財報紅綠燈!#REF!</definedName>
    <definedName name="外部資料_3116" localSheetId="1">財報紅綠燈!#REF!</definedName>
    <definedName name="外部資料_3117" localSheetId="1">財報紅綠燈!#REF!</definedName>
    <definedName name="外部資料_3119" localSheetId="1">財報紅綠燈!#REF!</definedName>
    <definedName name="外部資料_312" localSheetId="8">PKA!#REF!</definedName>
    <definedName name="外部資料_312" localSheetId="9">PKB!#REF!</definedName>
    <definedName name="外部資料_312" localSheetId="10">PKC!#REF!</definedName>
    <definedName name="外部資料_312" localSheetId="1">財報紅綠燈!#REF!</definedName>
    <definedName name="外部資料_3120" localSheetId="1">財報紅綠燈!#REF!</definedName>
    <definedName name="外部資料_3121" localSheetId="1">財報紅綠燈!#REF!</definedName>
    <definedName name="外部資料_3123" localSheetId="1">財報紅綠燈!#REF!</definedName>
    <definedName name="外部資料_3124" localSheetId="1">財報紅綠燈!#REF!</definedName>
    <definedName name="外部資料_3125" localSheetId="1">財報紅綠燈!#REF!</definedName>
    <definedName name="外部資料_3127" localSheetId="1">財報紅綠燈!#REF!</definedName>
    <definedName name="外部資料_3128" localSheetId="1">財報紅綠燈!#REF!</definedName>
    <definedName name="外部資料_3129" localSheetId="1">財報紅綠燈!#REF!</definedName>
    <definedName name="外部資料_313" localSheetId="8">PKA!#REF!</definedName>
    <definedName name="外部資料_313" localSheetId="9">PKB!#REF!</definedName>
    <definedName name="外部資料_313" localSheetId="10">PKC!#REF!</definedName>
    <definedName name="外部資料_313" localSheetId="1">財報紅綠燈!#REF!</definedName>
    <definedName name="外部資料_3131" localSheetId="1">財報紅綠燈!#REF!</definedName>
    <definedName name="外部資料_3132" localSheetId="1">財報紅綠燈!#REF!</definedName>
    <definedName name="外部資料_3133" localSheetId="1">財報紅綠燈!#REF!</definedName>
    <definedName name="外部資料_3135" localSheetId="1">財報紅綠燈!#REF!</definedName>
    <definedName name="外部資料_3136" localSheetId="1">財報紅綠燈!#REF!</definedName>
    <definedName name="外部資料_3137" localSheetId="1">財報紅綠燈!#REF!</definedName>
    <definedName name="外部資料_3139" localSheetId="1">財報紅綠燈!#REF!</definedName>
    <definedName name="外部資料_314" localSheetId="8">PKA!#REF!</definedName>
    <definedName name="外部資料_314" localSheetId="9">PKB!#REF!</definedName>
    <definedName name="外部資料_314" localSheetId="10">PKC!#REF!</definedName>
    <definedName name="外部資料_314" localSheetId="1">財報紅綠燈!#REF!</definedName>
    <definedName name="外部資料_3140" localSheetId="1">財報紅綠燈!#REF!</definedName>
    <definedName name="外部資料_3141" localSheetId="1">財報紅綠燈!#REF!</definedName>
    <definedName name="外部資料_3143" localSheetId="1">財報紅綠燈!#REF!</definedName>
    <definedName name="外部資料_3144" localSheetId="1">財報紅綠燈!#REF!</definedName>
    <definedName name="外部資料_3145" localSheetId="1">財報紅綠燈!#REF!</definedName>
    <definedName name="外部資料_3147" localSheetId="1">財報紅綠燈!#REF!</definedName>
    <definedName name="外部資料_3148" localSheetId="1">財報紅綠燈!#REF!</definedName>
    <definedName name="外部資料_3149" localSheetId="1">財報紅綠燈!#REF!</definedName>
    <definedName name="外部資料_315" localSheetId="8">PKA!#REF!</definedName>
    <definedName name="外部資料_315" localSheetId="9">PKB!#REF!</definedName>
    <definedName name="外部資料_315" localSheetId="10">PKC!#REF!</definedName>
    <definedName name="外部資料_3151" localSheetId="1">財報紅綠燈!#REF!</definedName>
    <definedName name="外部資料_3152" localSheetId="1">財報紅綠燈!#REF!</definedName>
    <definedName name="外部資料_3153" localSheetId="1">財報紅綠燈!#REF!</definedName>
    <definedName name="外部資料_3155" localSheetId="1">財報紅綠燈!#REF!</definedName>
    <definedName name="外部資料_3156" localSheetId="1">財報紅綠燈!#REF!</definedName>
    <definedName name="外部資料_3157" localSheetId="1">財報紅綠燈!#REF!</definedName>
    <definedName name="外部資料_3159" localSheetId="1">財報紅綠燈!#REF!</definedName>
    <definedName name="外部資料_316" localSheetId="8">PKA!#REF!</definedName>
    <definedName name="外部資料_316" localSheetId="9">PKB!#REF!</definedName>
    <definedName name="外部資料_316" localSheetId="10">PKC!#REF!</definedName>
    <definedName name="外部資料_316" localSheetId="1">財報紅綠燈!#REF!</definedName>
    <definedName name="外部資料_3160" localSheetId="1">財報紅綠燈!#REF!</definedName>
    <definedName name="外部資料_3161" localSheetId="1">財報紅綠燈!#REF!</definedName>
    <definedName name="外部資料_3163" localSheetId="1">財報紅綠燈!#REF!</definedName>
    <definedName name="外部資料_3164" localSheetId="1">財報紅綠燈!#REF!</definedName>
    <definedName name="外部資料_3165" localSheetId="1">財報紅綠燈!#REF!</definedName>
    <definedName name="外部資料_3167" localSheetId="1">財報紅綠燈!#REF!</definedName>
    <definedName name="外部資料_3168" localSheetId="1">財報紅綠燈!#REF!</definedName>
    <definedName name="外部資料_3169" localSheetId="1">財報紅綠燈!#REF!</definedName>
    <definedName name="外部資料_317" localSheetId="8">PKA!#REF!</definedName>
    <definedName name="外部資料_317" localSheetId="9">PKB!#REF!</definedName>
    <definedName name="外部資料_317" localSheetId="10">PKC!#REF!</definedName>
    <definedName name="外部資料_317" localSheetId="1">財報紅綠燈!#REF!</definedName>
    <definedName name="外部資料_3171" localSheetId="1">財報紅綠燈!#REF!</definedName>
    <definedName name="外部資料_3172" localSheetId="1">財報紅綠燈!#REF!</definedName>
    <definedName name="外部資料_3173" localSheetId="1">財報紅綠燈!#REF!</definedName>
    <definedName name="外部資料_3175" localSheetId="1">財報紅綠燈!#REF!</definedName>
    <definedName name="外部資料_3176" localSheetId="1">財報紅綠燈!#REF!</definedName>
    <definedName name="外部資料_3177" localSheetId="1">財報紅綠燈!#REF!</definedName>
    <definedName name="外部資料_3179" localSheetId="1">財報紅綠燈!#REF!</definedName>
    <definedName name="外部資料_318" localSheetId="8">PKA!#REF!</definedName>
    <definedName name="外部資料_318" localSheetId="9">PKB!#REF!</definedName>
    <definedName name="外部資料_318" localSheetId="10">PKC!#REF!</definedName>
    <definedName name="外部資料_318" localSheetId="1">財報紅綠燈!#REF!</definedName>
    <definedName name="外部資料_3180" localSheetId="1">財報紅綠燈!#REF!</definedName>
    <definedName name="外部資料_3181" localSheetId="1">財報紅綠燈!#REF!</definedName>
    <definedName name="外部資料_3183" localSheetId="1">財報紅綠燈!#REF!</definedName>
    <definedName name="外部資料_3184" localSheetId="1">財報紅綠燈!#REF!</definedName>
    <definedName name="外部資料_3185" localSheetId="1">財報紅綠燈!#REF!</definedName>
    <definedName name="外部資料_3187" localSheetId="1">財報紅綠燈!#REF!</definedName>
    <definedName name="外部資料_3188" localSheetId="1">財報紅綠燈!#REF!</definedName>
    <definedName name="外部資料_3189" localSheetId="1">財報紅綠燈!#REF!</definedName>
    <definedName name="外部資料_319" localSheetId="8">PKA!#REF!</definedName>
    <definedName name="外部資料_319" localSheetId="9">PKB!#REF!</definedName>
    <definedName name="外部資料_319" localSheetId="10">PKC!#REF!</definedName>
    <definedName name="外部資料_3191" localSheetId="1">財報紅綠燈!#REF!</definedName>
    <definedName name="外部資料_3192" localSheetId="1">財報紅綠燈!#REF!</definedName>
    <definedName name="外部資料_3193" localSheetId="1">財報紅綠燈!#REF!</definedName>
    <definedName name="外部資料_3195" localSheetId="1">財報紅綠燈!#REF!</definedName>
    <definedName name="外部資料_3196" localSheetId="1">財報紅綠燈!#REF!</definedName>
    <definedName name="外部資料_3197" localSheetId="1">財報紅綠燈!#REF!</definedName>
    <definedName name="外部資料_3199" localSheetId="1">財報紅綠燈!#REF!</definedName>
    <definedName name="外部資料_32" localSheetId="8">PKA!#REF!</definedName>
    <definedName name="外部資料_32" localSheetId="9">PKB!#REF!</definedName>
    <definedName name="外部資料_32" localSheetId="10">PKC!#REF!</definedName>
    <definedName name="外部資料_32" localSheetId="1">財報紅綠燈!#REF!</definedName>
    <definedName name="外部資料_32" localSheetId="5">評比系統!#REF!</definedName>
    <definedName name="外部資料_32" localSheetId="3">篩股系統!#REF!</definedName>
    <definedName name="外部資料_320" localSheetId="8">PKA!#REF!</definedName>
    <definedName name="外部資料_320" localSheetId="9">PKB!#REF!</definedName>
    <definedName name="外部資料_320" localSheetId="10">PKC!#REF!</definedName>
    <definedName name="外部資料_320" localSheetId="1">財報紅綠燈!#REF!</definedName>
    <definedName name="外部資料_3200" localSheetId="1">財報紅綠燈!#REF!</definedName>
    <definedName name="外部資料_3201" localSheetId="1">財報紅綠燈!#REF!</definedName>
    <definedName name="外部資料_3203" localSheetId="1">財報紅綠燈!#REF!</definedName>
    <definedName name="外部資料_3204" localSheetId="1">財報紅綠燈!#REF!</definedName>
    <definedName name="外部資料_3205" localSheetId="1">財報紅綠燈!#REF!</definedName>
    <definedName name="外部資料_3207" localSheetId="1">財報紅綠燈!#REF!</definedName>
    <definedName name="外部資料_3208" localSheetId="1">財報紅綠燈!#REF!</definedName>
    <definedName name="外部資料_3209" localSheetId="1">財報紅綠燈!#REF!</definedName>
    <definedName name="外部資料_321" localSheetId="8">PKA!#REF!</definedName>
    <definedName name="外部資料_321" localSheetId="9">PKB!#REF!</definedName>
    <definedName name="外部資料_321" localSheetId="10">PKC!#REF!</definedName>
    <definedName name="外部資料_321" localSheetId="1">財報紅綠燈!#REF!</definedName>
    <definedName name="外部資料_3211" localSheetId="1">財報紅綠燈!#REF!</definedName>
    <definedName name="外部資料_3212" localSheetId="1">財報紅綠燈!#REF!</definedName>
    <definedName name="外部資料_3213" localSheetId="1">財報紅綠燈!#REF!</definedName>
    <definedName name="外部資料_3215" localSheetId="1">財報紅綠燈!#REF!</definedName>
    <definedName name="外部資料_3216" localSheetId="1">財報紅綠燈!#REF!</definedName>
    <definedName name="外部資料_3217" localSheetId="1">財報紅綠燈!#REF!</definedName>
    <definedName name="外部資料_3219" localSheetId="1">財報紅綠燈!#REF!</definedName>
    <definedName name="外部資料_322" localSheetId="8">PKA!#REF!</definedName>
    <definedName name="外部資料_322" localSheetId="9">PKB!#REF!</definedName>
    <definedName name="外部資料_322" localSheetId="10">PKC!#REF!</definedName>
    <definedName name="外部資料_322" localSheetId="1">財報紅綠燈!#REF!</definedName>
    <definedName name="外部資料_3220" localSheetId="1">財報紅綠燈!#REF!</definedName>
    <definedName name="外部資料_3221" localSheetId="1">財報紅綠燈!#REF!</definedName>
    <definedName name="外部資料_3223" localSheetId="1">財報紅綠燈!#REF!</definedName>
    <definedName name="外部資料_3224" localSheetId="1">財報紅綠燈!#REF!</definedName>
    <definedName name="外部資料_3225" localSheetId="1">財報紅綠燈!#REF!</definedName>
    <definedName name="外部資料_3227" localSheetId="1">財報紅綠燈!#REF!</definedName>
    <definedName name="外部資料_3228" localSheetId="1">財報紅綠燈!#REF!</definedName>
    <definedName name="外部資料_3229" localSheetId="1">財報紅綠燈!#REF!</definedName>
    <definedName name="外部資料_323" localSheetId="8">PKA!#REF!</definedName>
    <definedName name="外部資料_323" localSheetId="9">PKB!#REF!</definedName>
    <definedName name="外部資料_323" localSheetId="10">PKC!#REF!</definedName>
    <definedName name="外部資料_3231" localSheetId="1">財報紅綠燈!#REF!</definedName>
    <definedName name="外部資料_3232" localSheetId="1">財報紅綠燈!#REF!</definedName>
    <definedName name="外部資料_3233" localSheetId="1">財報紅綠燈!#REF!</definedName>
    <definedName name="外部資料_3235" localSheetId="1">財報紅綠燈!#REF!</definedName>
    <definedName name="外部資料_3236" localSheetId="1">財報紅綠燈!#REF!</definedName>
    <definedName name="外部資料_3237" localSheetId="1">財報紅綠燈!#REF!</definedName>
    <definedName name="外部資料_3239" localSheetId="1">財報紅綠燈!#REF!</definedName>
    <definedName name="外部資料_324" localSheetId="8">PKA!#REF!</definedName>
    <definedName name="外部資料_324" localSheetId="9">PKB!#REF!</definedName>
    <definedName name="外部資料_324" localSheetId="10">PKC!#REF!</definedName>
    <definedName name="外部資料_324" localSheetId="1">財報紅綠燈!#REF!</definedName>
    <definedName name="外部資料_3240" localSheetId="1">財報紅綠燈!#REF!</definedName>
    <definedName name="外部資料_3241" localSheetId="1">財報紅綠燈!#REF!</definedName>
    <definedName name="外部資料_3243" localSheetId="1">財報紅綠燈!#REF!</definedName>
    <definedName name="外部資料_3244" localSheetId="1">財報紅綠燈!#REF!</definedName>
    <definedName name="外部資料_3245" localSheetId="1">財報紅綠燈!#REF!</definedName>
    <definedName name="外部資料_3247" localSheetId="1">財報紅綠燈!#REF!</definedName>
    <definedName name="外部資料_3248" localSheetId="1">財報紅綠燈!#REF!</definedName>
    <definedName name="外部資料_3249" localSheetId="1">財報紅綠燈!#REF!</definedName>
    <definedName name="外部資料_325" localSheetId="8">PKA!#REF!</definedName>
    <definedName name="外部資料_325" localSheetId="9">PKB!#REF!</definedName>
    <definedName name="外部資料_325" localSheetId="10">PKC!#REF!</definedName>
    <definedName name="外部資料_325" localSheetId="1">財報紅綠燈!#REF!</definedName>
    <definedName name="外部資料_3251" localSheetId="1">財報紅綠燈!#REF!</definedName>
    <definedName name="外部資料_3252" localSheetId="1">財報紅綠燈!#REF!</definedName>
    <definedName name="外部資料_3253" localSheetId="1">財報紅綠燈!#REF!</definedName>
    <definedName name="外部資料_3255" localSheetId="1">財報紅綠燈!#REF!</definedName>
    <definedName name="外部資料_3256" localSheetId="1">財報紅綠燈!#REF!</definedName>
    <definedName name="外部資料_3257" localSheetId="1">財報紅綠燈!#REF!</definedName>
    <definedName name="外部資料_3259" localSheetId="1">財報紅綠燈!#REF!</definedName>
    <definedName name="外部資料_326" localSheetId="8">PKA!#REF!</definedName>
    <definedName name="外部資料_326" localSheetId="9">PKB!#REF!</definedName>
    <definedName name="外部資料_326" localSheetId="10">PKC!#REF!</definedName>
    <definedName name="外部資料_326" localSheetId="1">財報紅綠燈!#REF!</definedName>
    <definedName name="外部資料_3260" localSheetId="1">財報紅綠燈!#REF!</definedName>
    <definedName name="外部資料_3261" localSheetId="1">財報紅綠燈!#REF!</definedName>
    <definedName name="外部資料_3263" localSheetId="1">財報紅綠燈!#REF!</definedName>
    <definedName name="外部資料_3264" localSheetId="1">財報紅綠燈!#REF!</definedName>
    <definedName name="外部資料_3265" localSheetId="1">財報紅綠燈!#REF!</definedName>
    <definedName name="外部資料_3267" localSheetId="1">財報紅綠燈!#REF!</definedName>
    <definedName name="外部資料_3268" localSheetId="1">財報紅綠燈!#REF!</definedName>
    <definedName name="外部資料_3269" localSheetId="1">財報紅綠燈!#REF!</definedName>
    <definedName name="外部資料_327" localSheetId="8">PKA!#REF!</definedName>
    <definedName name="外部資料_327" localSheetId="9">PKB!#REF!</definedName>
    <definedName name="外部資料_327" localSheetId="10">PKC!#REF!</definedName>
    <definedName name="外部資料_3271" localSheetId="1">財報紅綠燈!#REF!</definedName>
    <definedName name="外部資料_3272" localSheetId="1">財報紅綠燈!#REF!</definedName>
    <definedName name="外部資料_3273" localSheetId="1">財報紅綠燈!#REF!</definedName>
    <definedName name="外部資料_3275" localSheetId="1">財報紅綠燈!#REF!</definedName>
    <definedName name="外部資料_3276" localSheetId="1">財報紅綠燈!#REF!</definedName>
    <definedName name="外部資料_3277" localSheetId="1">財報紅綠燈!#REF!</definedName>
    <definedName name="外部資料_3279" localSheetId="1">財報紅綠燈!#REF!</definedName>
    <definedName name="外部資料_328" localSheetId="8">PKA!#REF!</definedName>
    <definedName name="外部資料_328" localSheetId="9">PKB!#REF!</definedName>
    <definedName name="外部資料_328" localSheetId="10">PKC!#REF!</definedName>
    <definedName name="外部資料_328" localSheetId="1">財報紅綠燈!#REF!</definedName>
    <definedName name="外部資料_3280" localSheetId="1">財報紅綠燈!#REF!</definedName>
    <definedName name="外部資料_3281" localSheetId="1">財報紅綠燈!#REF!</definedName>
    <definedName name="外部資料_3283" localSheetId="1">財報紅綠燈!#REF!</definedName>
    <definedName name="外部資料_3284" localSheetId="1">財報紅綠燈!#REF!</definedName>
    <definedName name="外部資料_3285" localSheetId="1">財報紅綠燈!#REF!</definedName>
    <definedName name="外部資料_3287" localSheetId="1">財報紅綠燈!#REF!</definedName>
    <definedName name="外部資料_3288" localSheetId="1">財報紅綠燈!#REF!</definedName>
    <definedName name="外部資料_3289" localSheetId="1">財報紅綠燈!#REF!</definedName>
    <definedName name="外部資料_329" localSheetId="8">PKA!#REF!</definedName>
    <definedName name="外部資料_329" localSheetId="9">PKB!#REF!</definedName>
    <definedName name="外部資料_329" localSheetId="10">PKC!#REF!</definedName>
    <definedName name="外部資料_329" localSheetId="1">財報紅綠燈!#REF!</definedName>
    <definedName name="外部資料_3291" localSheetId="1">財報紅綠燈!#REF!</definedName>
    <definedName name="外部資料_3292" localSheetId="1">財報紅綠燈!#REF!</definedName>
    <definedName name="外部資料_3293" localSheetId="1">財報紅綠燈!#REF!</definedName>
    <definedName name="外部資料_3295" localSheetId="1">財報紅綠燈!#REF!</definedName>
    <definedName name="外部資料_3296" localSheetId="1">財報紅綠燈!#REF!</definedName>
    <definedName name="外部資料_3297" localSheetId="1">財報紅綠燈!#REF!</definedName>
    <definedName name="外部資料_3299" localSheetId="1">財報紅綠燈!#REF!</definedName>
    <definedName name="外部資料_33" localSheetId="8">PKA!#REF!</definedName>
    <definedName name="外部資料_33" localSheetId="9">PKB!#REF!</definedName>
    <definedName name="外部資料_33" localSheetId="10">PKC!#REF!</definedName>
    <definedName name="外部資料_33" localSheetId="1">財報紅綠燈!#REF!</definedName>
    <definedName name="外部資料_33" localSheetId="5">評比系統!#REF!</definedName>
    <definedName name="外部資料_33" localSheetId="3">篩股系統!#REF!</definedName>
    <definedName name="外部資料_330" localSheetId="8">PKA!#REF!</definedName>
    <definedName name="外部資料_330" localSheetId="9">PKB!#REF!</definedName>
    <definedName name="外部資料_330" localSheetId="10">PKC!#REF!</definedName>
    <definedName name="外部資料_330" localSheetId="1">財報紅綠燈!#REF!</definedName>
    <definedName name="外部資料_3300" localSheetId="1">財報紅綠燈!#REF!</definedName>
    <definedName name="外部資料_3301" localSheetId="1">財報紅綠燈!#REF!</definedName>
    <definedName name="外部資料_3303" localSheetId="1">財報紅綠燈!#REF!</definedName>
    <definedName name="外部資料_3304" localSheetId="1">財報紅綠燈!#REF!</definedName>
    <definedName name="外部資料_3305" localSheetId="1">財報紅綠燈!#REF!</definedName>
    <definedName name="外部資料_3307" localSheetId="1">財報紅綠燈!#REF!</definedName>
    <definedName name="外部資料_3308" localSheetId="1">財報紅綠燈!#REF!</definedName>
    <definedName name="外部資料_3309" localSheetId="1">財報紅綠燈!#REF!</definedName>
    <definedName name="外部資料_331" localSheetId="8">PKA!#REF!</definedName>
    <definedName name="外部資料_331" localSheetId="9">PKB!#REF!</definedName>
    <definedName name="外部資料_331" localSheetId="10">PKC!#REF!</definedName>
    <definedName name="外部資料_3311" localSheetId="1">財報紅綠燈!#REF!</definedName>
    <definedName name="外部資料_3312" localSheetId="1">財報紅綠燈!#REF!</definedName>
    <definedName name="外部資料_3313" localSheetId="1">財報紅綠燈!#REF!</definedName>
    <definedName name="外部資料_3315" localSheetId="1">財報紅綠燈!#REF!</definedName>
    <definedName name="外部資料_3316" localSheetId="1">財報紅綠燈!#REF!</definedName>
    <definedName name="外部資料_3317" localSheetId="1">財報紅綠燈!#REF!</definedName>
    <definedName name="外部資料_3319" localSheetId="1">財報紅綠燈!#REF!</definedName>
    <definedName name="外部資料_332" localSheetId="8">PKA!#REF!</definedName>
    <definedName name="外部資料_332" localSheetId="9">PKB!#REF!</definedName>
    <definedName name="外部資料_332" localSheetId="10">PKC!#REF!</definedName>
    <definedName name="外部資料_332" localSheetId="1">財報紅綠燈!#REF!</definedName>
    <definedName name="外部資料_3320" localSheetId="1">財報紅綠燈!#REF!</definedName>
    <definedName name="外部資料_3321" localSheetId="1">財報紅綠燈!#REF!</definedName>
    <definedName name="外部資料_3323" localSheetId="1">財報紅綠燈!#REF!</definedName>
    <definedName name="外部資料_3324" localSheetId="1">財報紅綠燈!#REF!</definedName>
    <definedName name="外部資料_3325" localSheetId="1">財報紅綠燈!#REF!</definedName>
    <definedName name="外部資料_3327" localSheetId="1">財報紅綠燈!#REF!</definedName>
    <definedName name="外部資料_3328" localSheetId="1">財報紅綠燈!#REF!</definedName>
    <definedName name="外部資料_3329" localSheetId="1">財報紅綠燈!#REF!</definedName>
    <definedName name="外部資料_333" localSheetId="8">PKA!#REF!</definedName>
    <definedName name="外部資料_333" localSheetId="9">PKB!#REF!</definedName>
    <definedName name="外部資料_333" localSheetId="10">PKC!#REF!</definedName>
    <definedName name="外部資料_333" localSheetId="1">財報紅綠燈!#REF!</definedName>
    <definedName name="外部資料_3331" localSheetId="1">財報紅綠燈!#REF!</definedName>
    <definedName name="外部資料_3332" localSheetId="1">財報紅綠燈!#REF!</definedName>
    <definedName name="外部資料_3333" localSheetId="1">財報紅綠燈!#REF!</definedName>
    <definedName name="外部資料_3335" localSheetId="1">財報紅綠燈!#REF!</definedName>
    <definedName name="外部資料_3336" localSheetId="1">財報紅綠燈!#REF!</definedName>
    <definedName name="外部資料_3337" localSheetId="1">財報紅綠燈!#REF!</definedName>
    <definedName name="外部資料_3339" localSheetId="1">財報紅綠燈!#REF!</definedName>
    <definedName name="外部資料_334" localSheetId="8">PKA!#REF!</definedName>
    <definedName name="外部資料_334" localSheetId="9">PKB!#REF!</definedName>
    <definedName name="外部資料_334" localSheetId="10">PKC!#REF!</definedName>
    <definedName name="外部資料_334" localSheetId="1">財報紅綠燈!#REF!</definedName>
    <definedName name="外部資料_3340" localSheetId="1">財報紅綠燈!#REF!</definedName>
    <definedName name="外部資料_3341" localSheetId="1">財報紅綠燈!#REF!</definedName>
    <definedName name="外部資料_3343" localSheetId="1">財報紅綠燈!#REF!</definedName>
    <definedName name="外部資料_3344" localSheetId="1">財報紅綠燈!#REF!</definedName>
    <definedName name="外部資料_3345" localSheetId="1">財報紅綠燈!#REF!</definedName>
    <definedName name="外部資料_3347" localSheetId="1">財報紅綠燈!#REF!</definedName>
    <definedName name="外部資料_3348" localSheetId="1">財報紅綠燈!#REF!</definedName>
    <definedName name="外部資料_3349" localSheetId="1">財報紅綠燈!#REF!</definedName>
    <definedName name="外部資料_335" localSheetId="8">PKA!#REF!</definedName>
    <definedName name="外部資料_335" localSheetId="9">PKB!#REF!</definedName>
    <definedName name="外部資料_335" localSheetId="10">PKC!#REF!</definedName>
    <definedName name="外部資料_3351" localSheetId="1">財報紅綠燈!#REF!</definedName>
    <definedName name="外部資料_3352" localSheetId="1">財報紅綠燈!#REF!</definedName>
    <definedName name="外部資料_3353" localSheetId="1">財報紅綠燈!#REF!</definedName>
    <definedName name="外部資料_3355" localSheetId="1">財報紅綠燈!#REF!</definedName>
    <definedName name="外部資料_3356" localSheetId="1">財報紅綠燈!#REF!</definedName>
    <definedName name="外部資料_3357" localSheetId="1">財報紅綠燈!#REF!</definedName>
    <definedName name="外部資料_3359" localSheetId="1">財報紅綠燈!#REF!</definedName>
    <definedName name="外部資料_336" localSheetId="8">PKA!#REF!</definedName>
    <definedName name="外部資料_336" localSheetId="9">PKB!#REF!</definedName>
    <definedName name="外部資料_336" localSheetId="10">PKC!#REF!</definedName>
    <definedName name="外部資料_336" localSheetId="1">財報紅綠燈!#REF!</definedName>
    <definedName name="外部資料_3360" localSheetId="1">財報紅綠燈!#REF!</definedName>
    <definedName name="外部資料_3361" localSheetId="1">財報紅綠燈!#REF!</definedName>
    <definedName name="外部資料_3363" localSheetId="1">財報紅綠燈!#REF!</definedName>
    <definedName name="外部資料_3364" localSheetId="1">財報紅綠燈!#REF!</definedName>
    <definedName name="外部資料_3365" localSheetId="1">財報紅綠燈!#REF!</definedName>
    <definedName name="外部資料_3367" localSheetId="1">財報紅綠燈!#REF!</definedName>
    <definedName name="外部資料_3368" localSheetId="1">財報紅綠燈!#REF!</definedName>
    <definedName name="外部資料_3369" localSheetId="1">財報紅綠燈!#REF!</definedName>
    <definedName name="外部資料_337" localSheetId="8">PKA!#REF!</definedName>
    <definedName name="外部資料_337" localSheetId="9">PKB!#REF!</definedName>
    <definedName name="外部資料_337" localSheetId="10">PKC!#REF!</definedName>
    <definedName name="外部資料_337" localSheetId="1">財報紅綠燈!#REF!</definedName>
    <definedName name="外部資料_3371" localSheetId="1">財報紅綠燈!#REF!</definedName>
    <definedName name="外部資料_3372" localSheetId="1">財報紅綠燈!#REF!</definedName>
    <definedName name="外部資料_3373" localSheetId="1">財報紅綠燈!#REF!</definedName>
    <definedName name="外部資料_3375" localSheetId="1">財報紅綠燈!#REF!</definedName>
    <definedName name="外部資料_3376" localSheetId="1">財報紅綠燈!#REF!</definedName>
    <definedName name="外部資料_3377" localSheetId="1">財報紅綠燈!#REF!</definedName>
    <definedName name="外部資料_3379" localSheetId="1">財報紅綠燈!#REF!</definedName>
    <definedName name="外部資料_338" localSheetId="8">PKA!#REF!</definedName>
    <definedName name="外部資料_338" localSheetId="9">PKB!#REF!</definedName>
    <definedName name="外部資料_338" localSheetId="10">PKC!#REF!</definedName>
    <definedName name="外部資料_338" localSheetId="1">財報紅綠燈!#REF!</definedName>
    <definedName name="外部資料_3380" localSheetId="1">財報紅綠燈!#REF!</definedName>
    <definedName name="外部資料_3381" localSheetId="1">財報紅綠燈!#REF!</definedName>
    <definedName name="外部資料_3383" localSheetId="1">財報紅綠燈!#REF!</definedName>
    <definedName name="外部資料_3384" localSheetId="1">財報紅綠燈!#REF!</definedName>
    <definedName name="外部資料_3385" localSheetId="1">財報紅綠燈!#REF!</definedName>
    <definedName name="外部資料_3387" localSheetId="1">財報紅綠燈!#REF!</definedName>
    <definedName name="外部資料_3388" localSheetId="1">財報紅綠燈!#REF!</definedName>
    <definedName name="外部資料_3389" localSheetId="1">財報紅綠燈!#REF!</definedName>
    <definedName name="外部資料_339" localSheetId="8">PKA!#REF!</definedName>
    <definedName name="外部資料_339" localSheetId="9">PKB!#REF!</definedName>
    <definedName name="外部資料_339" localSheetId="10">PKC!#REF!</definedName>
    <definedName name="外部資料_3391" localSheetId="1">財報紅綠燈!#REF!</definedName>
    <definedName name="外部資料_3392" localSheetId="1">財報紅綠燈!#REF!</definedName>
    <definedName name="外部資料_3393" localSheetId="1">財報紅綠燈!#REF!</definedName>
    <definedName name="外部資料_3395" localSheetId="1">財報紅綠燈!#REF!</definedName>
    <definedName name="外部資料_3396" localSheetId="1">財報紅綠燈!#REF!</definedName>
    <definedName name="外部資料_3397" localSheetId="1">財報紅綠燈!#REF!</definedName>
    <definedName name="外部資料_3399" localSheetId="1">財報紅綠燈!#REF!</definedName>
    <definedName name="外部資料_34" localSheetId="8">PKA!#REF!</definedName>
    <definedName name="外部資料_34" localSheetId="9">PKB!#REF!</definedName>
    <definedName name="外部資料_34" localSheetId="10">PKC!#REF!</definedName>
    <definedName name="外部資料_34" localSheetId="1">財報紅綠燈!#REF!</definedName>
    <definedName name="外部資料_34" localSheetId="5">評比系統!#REF!</definedName>
    <definedName name="外部資料_34" localSheetId="3">篩股系統!#REF!</definedName>
    <definedName name="外部資料_340" localSheetId="8">PKA!#REF!</definedName>
    <definedName name="外部資料_340" localSheetId="9">PKB!#REF!</definedName>
    <definedName name="外部資料_340" localSheetId="10">PKC!#REF!</definedName>
    <definedName name="外部資料_340" localSheetId="1">財報紅綠燈!#REF!</definedName>
    <definedName name="外部資料_3400" localSheetId="1">財報紅綠燈!#REF!</definedName>
    <definedName name="外部資料_3401" localSheetId="1">財報紅綠燈!#REF!</definedName>
    <definedName name="外部資料_3403" localSheetId="1">財報紅綠燈!#REF!</definedName>
    <definedName name="外部資料_3404" localSheetId="1">財報紅綠燈!#REF!</definedName>
    <definedName name="外部資料_3405" localSheetId="1">財報紅綠燈!#REF!</definedName>
    <definedName name="外部資料_3407" localSheetId="1">財報紅綠燈!#REF!</definedName>
    <definedName name="外部資料_3408" localSheetId="1">財報紅綠燈!#REF!</definedName>
    <definedName name="外部資料_3409" localSheetId="1">財報紅綠燈!#REF!</definedName>
    <definedName name="外部資料_341" localSheetId="8">PKA!#REF!</definedName>
    <definedName name="外部資料_341" localSheetId="9">PKB!#REF!</definedName>
    <definedName name="外部資料_341" localSheetId="10">PKC!#REF!</definedName>
    <definedName name="外部資料_341" localSheetId="1">財報紅綠燈!#REF!</definedName>
    <definedName name="外部資料_3411" localSheetId="1">財報紅綠燈!#REF!</definedName>
    <definedName name="外部資料_3412" localSheetId="1">財報紅綠燈!#REF!</definedName>
    <definedName name="外部資料_3413" localSheetId="1">財報紅綠燈!#REF!</definedName>
    <definedName name="外部資料_3415" localSheetId="1">財報紅綠燈!#REF!</definedName>
    <definedName name="外部資料_3416" localSheetId="1">財報紅綠燈!#REF!</definedName>
    <definedName name="外部資料_3417" localSheetId="1">財報紅綠燈!#REF!</definedName>
    <definedName name="外部資料_3419" localSheetId="1">財報紅綠燈!#REF!</definedName>
    <definedName name="外部資料_342" localSheetId="8">PKA!#REF!</definedName>
    <definedName name="外部資料_342" localSheetId="9">PKB!#REF!</definedName>
    <definedName name="外部資料_342" localSheetId="10">PKC!#REF!</definedName>
    <definedName name="外部資料_342" localSheetId="1">財報紅綠燈!#REF!</definedName>
    <definedName name="外部資料_3420" localSheetId="1">財報紅綠燈!#REF!</definedName>
    <definedName name="外部資料_3421" localSheetId="1">財報紅綠燈!#REF!</definedName>
    <definedName name="外部資料_3423" localSheetId="1">財報紅綠燈!#REF!</definedName>
    <definedName name="外部資料_3424" localSheetId="1">財報紅綠燈!#REF!</definedName>
    <definedName name="外部資料_3425" localSheetId="1">財報紅綠燈!#REF!</definedName>
    <definedName name="外部資料_3427" localSheetId="1">財報紅綠燈!#REF!</definedName>
    <definedName name="外部資料_3428" localSheetId="1">財報紅綠燈!#REF!</definedName>
    <definedName name="外部資料_3429" localSheetId="1">財報紅綠燈!#REF!</definedName>
    <definedName name="外部資料_343" localSheetId="8">PKA!#REF!</definedName>
    <definedName name="外部資料_343" localSheetId="9">PKB!#REF!</definedName>
    <definedName name="外部資料_343" localSheetId="10">PKC!#REF!</definedName>
    <definedName name="外部資料_3431" localSheetId="1">財報紅綠燈!#REF!</definedName>
    <definedName name="外部資料_3432" localSheetId="1">財報紅綠燈!#REF!</definedName>
    <definedName name="外部資料_3433" localSheetId="1">財報紅綠燈!#REF!</definedName>
    <definedName name="外部資料_3435" localSheetId="1">財報紅綠燈!#REF!</definedName>
    <definedName name="外部資料_3436" localSheetId="1">財報紅綠燈!#REF!</definedName>
    <definedName name="外部資料_3437" localSheetId="1">財報紅綠燈!#REF!</definedName>
    <definedName name="外部資料_3439" localSheetId="1">財報紅綠燈!#REF!</definedName>
    <definedName name="外部資料_344" localSheetId="8">PKA!#REF!</definedName>
    <definedName name="外部資料_344" localSheetId="9">PKB!#REF!</definedName>
    <definedName name="外部資料_344" localSheetId="10">PKC!#REF!</definedName>
    <definedName name="外部資料_344" localSheetId="1">財報紅綠燈!#REF!</definedName>
    <definedName name="外部資料_3440" localSheetId="1">財報紅綠燈!#REF!</definedName>
    <definedName name="外部資料_3441" localSheetId="1">財報紅綠燈!#REF!</definedName>
    <definedName name="外部資料_3443" localSheetId="1">財報紅綠燈!#REF!</definedName>
    <definedName name="外部資料_3444" localSheetId="1">財報紅綠燈!#REF!</definedName>
    <definedName name="外部資料_3445" localSheetId="1">財報紅綠燈!#REF!</definedName>
    <definedName name="外部資料_3447" localSheetId="1">財報紅綠燈!#REF!</definedName>
    <definedName name="外部資料_3448" localSheetId="1">財報紅綠燈!#REF!</definedName>
    <definedName name="外部資料_3449" localSheetId="1">財報紅綠燈!#REF!</definedName>
    <definedName name="外部資料_345" localSheetId="8">PKA!#REF!</definedName>
    <definedName name="外部資料_345" localSheetId="9">PKB!#REF!</definedName>
    <definedName name="外部資料_345" localSheetId="10">PKC!#REF!</definedName>
    <definedName name="外部資料_345" localSheetId="1">財報紅綠燈!#REF!</definedName>
    <definedName name="外部資料_3451" localSheetId="1">財報紅綠燈!#REF!</definedName>
    <definedName name="外部資料_3452" localSheetId="1">財報紅綠燈!#REF!</definedName>
    <definedName name="外部資料_3453" localSheetId="1">財報紅綠燈!#REF!</definedName>
    <definedName name="外部資料_3455" localSheetId="1">財報紅綠燈!#REF!</definedName>
    <definedName name="外部資料_3456" localSheetId="1">財報紅綠燈!#REF!</definedName>
    <definedName name="外部資料_3457" localSheetId="1">財報紅綠燈!#REF!</definedName>
    <definedName name="外部資料_3459" localSheetId="1">財報紅綠燈!#REF!</definedName>
    <definedName name="外部資料_346" localSheetId="8">PKA!#REF!</definedName>
    <definedName name="外部資料_346" localSheetId="9">PKB!#REF!</definedName>
    <definedName name="外部資料_346" localSheetId="10">PKC!#REF!</definedName>
    <definedName name="外部資料_346" localSheetId="1">財報紅綠燈!#REF!</definedName>
    <definedName name="外部資料_3460" localSheetId="1">財報紅綠燈!#REF!</definedName>
    <definedName name="外部資料_3461" localSheetId="1">財報紅綠燈!#REF!</definedName>
    <definedName name="外部資料_3463" localSheetId="1">財報紅綠燈!#REF!</definedName>
    <definedName name="外部資料_3464" localSheetId="1">財報紅綠燈!#REF!</definedName>
    <definedName name="外部資料_3465" localSheetId="1">財報紅綠燈!#REF!</definedName>
    <definedName name="外部資料_3467" localSheetId="1">財報紅綠燈!#REF!</definedName>
    <definedName name="外部資料_3468" localSheetId="1">財報紅綠燈!#REF!</definedName>
    <definedName name="外部資料_3469" localSheetId="1">財報紅綠燈!#REF!</definedName>
    <definedName name="外部資料_347" localSheetId="8">PKA!#REF!</definedName>
    <definedName name="外部資料_347" localSheetId="9">PKB!#REF!</definedName>
    <definedName name="外部資料_347" localSheetId="10">PKC!#REF!</definedName>
    <definedName name="外部資料_3471" localSheetId="1">財報紅綠燈!#REF!</definedName>
    <definedName name="外部資料_3472" localSheetId="1">財報紅綠燈!#REF!</definedName>
    <definedName name="外部資料_3473" localSheetId="1">財報紅綠燈!#REF!</definedName>
    <definedName name="外部資料_3475" localSheetId="1">財報紅綠燈!#REF!</definedName>
    <definedName name="外部資料_3476" localSheetId="1">財報紅綠燈!#REF!</definedName>
    <definedName name="外部資料_3477" localSheetId="1">財報紅綠燈!#REF!</definedName>
    <definedName name="外部資料_3479" localSheetId="1">財報紅綠燈!#REF!</definedName>
    <definedName name="外部資料_348" localSheetId="8">PKA!#REF!</definedName>
    <definedName name="外部資料_348" localSheetId="9">PKB!#REF!</definedName>
    <definedName name="外部資料_348" localSheetId="10">PKC!#REF!</definedName>
    <definedName name="外部資料_348" localSheetId="1">財報紅綠燈!#REF!</definedName>
    <definedName name="外部資料_3480" localSheetId="1">財報紅綠燈!#REF!</definedName>
    <definedName name="外部資料_3481" localSheetId="1">財報紅綠燈!#REF!</definedName>
    <definedName name="外部資料_3483" localSheetId="1">財報紅綠燈!#REF!</definedName>
    <definedName name="外部資料_3484" localSheetId="1">財報紅綠燈!#REF!</definedName>
    <definedName name="外部資料_3485" localSheetId="1">財報紅綠燈!#REF!</definedName>
    <definedName name="外部資料_3487" localSheetId="1">財報紅綠燈!#REF!</definedName>
    <definedName name="外部資料_3488" localSheetId="1">財報紅綠燈!#REF!</definedName>
    <definedName name="外部資料_3489" localSheetId="1">財報紅綠燈!#REF!</definedName>
    <definedName name="外部資料_349" localSheetId="8">PKA!#REF!</definedName>
    <definedName name="外部資料_349" localSheetId="9">PKB!#REF!</definedName>
    <definedName name="外部資料_349" localSheetId="10">PKC!#REF!</definedName>
    <definedName name="外部資料_349" localSheetId="1">財報紅綠燈!#REF!</definedName>
    <definedName name="外部資料_3491" localSheetId="1">財報紅綠燈!#REF!</definedName>
    <definedName name="外部資料_3492" localSheetId="1">財報紅綠燈!#REF!</definedName>
    <definedName name="外部資料_3493" localSheetId="1">財報紅綠燈!#REF!</definedName>
    <definedName name="外部資料_3495" localSheetId="1">財報紅綠燈!#REF!</definedName>
    <definedName name="外部資料_3496" localSheetId="1">財報紅綠燈!#REF!</definedName>
    <definedName name="外部資料_3497" localSheetId="1">財報紅綠燈!#REF!</definedName>
    <definedName name="外部資料_3499" localSheetId="1">財報紅綠燈!#REF!</definedName>
    <definedName name="外部資料_35" localSheetId="8">PKA!#REF!</definedName>
    <definedName name="外部資料_35" localSheetId="9">PKB!#REF!</definedName>
    <definedName name="外部資料_35" localSheetId="10">PKC!#REF!</definedName>
    <definedName name="外部資料_35" localSheetId="5">評比系統!#REF!</definedName>
    <definedName name="外部資料_35" localSheetId="3">篩股系統!#REF!</definedName>
    <definedName name="外部資料_350" localSheetId="8">PKA!#REF!</definedName>
    <definedName name="外部資料_350" localSheetId="9">PKB!#REF!</definedName>
    <definedName name="外部資料_350" localSheetId="10">PKC!#REF!</definedName>
    <definedName name="外部資料_350" localSheetId="1">財報紅綠燈!#REF!</definedName>
    <definedName name="外部資料_3500" localSheetId="1">財報紅綠燈!#REF!</definedName>
    <definedName name="外部資料_3501" localSheetId="1">財報紅綠燈!#REF!</definedName>
    <definedName name="外部資料_3503" localSheetId="1">財報紅綠燈!#REF!</definedName>
    <definedName name="外部資料_3504" localSheetId="1">財報紅綠燈!#REF!</definedName>
    <definedName name="外部資料_3505" localSheetId="1">財報紅綠燈!#REF!</definedName>
    <definedName name="外部資料_3507" localSheetId="1">財報紅綠燈!#REF!</definedName>
    <definedName name="外部資料_3508" localSheetId="1">財報紅綠燈!#REF!</definedName>
    <definedName name="外部資料_3509" localSheetId="1">財報紅綠燈!#REF!</definedName>
    <definedName name="外部資料_351" localSheetId="8">PKA!#REF!</definedName>
    <definedName name="外部資料_351" localSheetId="9">PKB!#REF!</definedName>
    <definedName name="外部資料_351" localSheetId="10">PKC!#REF!</definedName>
    <definedName name="外部資料_3511" localSheetId="1">財報紅綠燈!#REF!</definedName>
    <definedName name="外部資料_3512" localSheetId="1">財報紅綠燈!#REF!</definedName>
    <definedName name="外部資料_3513" localSheetId="1">財報紅綠燈!#REF!</definedName>
    <definedName name="外部資料_3515" localSheetId="1">財報紅綠燈!#REF!</definedName>
    <definedName name="外部資料_3516" localSheetId="1">財報紅綠燈!#REF!</definedName>
    <definedName name="外部資料_3517" localSheetId="1">財報紅綠燈!#REF!</definedName>
    <definedName name="外部資料_3519" localSheetId="1">財報紅綠燈!#REF!</definedName>
    <definedName name="外部資料_352" localSheetId="8">PKA!#REF!</definedName>
    <definedName name="外部資料_352" localSheetId="9">PKB!#REF!</definedName>
    <definedName name="外部資料_352" localSheetId="10">PKC!#REF!</definedName>
    <definedName name="外部資料_352" localSheetId="1">財報紅綠燈!#REF!</definedName>
    <definedName name="外部資料_3520" localSheetId="1">財報紅綠燈!#REF!</definedName>
    <definedName name="外部資料_3521" localSheetId="1">財報紅綠燈!#REF!</definedName>
    <definedName name="外部資料_3523" localSheetId="1">財報紅綠燈!#REF!</definedName>
    <definedName name="外部資料_3524" localSheetId="1">財報紅綠燈!#REF!</definedName>
    <definedName name="外部資料_3525" localSheetId="1">財報紅綠燈!#REF!</definedName>
    <definedName name="外部資料_3527" localSheetId="1">財報紅綠燈!#REF!</definedName>
    <definedName name="外部資料_3528" localSheetId="1">財報紅綠燈!#REF!</definedName>
    <definedName name="外部資料_3529" localSheetId="1">財報紅綠燈!#REF!</definedName>
    <definedName name="外部資料_353" localSheetId="8">PKA!#REF!</definedName>
    <definedName name="外部資料_353" localSheetId="9">PKB!#REF!</definedName>
    <definedName name="外部資料_353" localSheetId="10">PKC!#REF!</definedName>
    <definedName name="外部資料_353" localSheetId="1">財報紅綠燈!#REF!</definedName>
    <definedName name="外部資料_3531" localSheetId="1">財報紅綠燈!#REF!</definedName>
    <definedName name="外部資料_3532" localSheetId="1">財報紅綠燈!#REF!</definedName>
    <definedName name="外部資料_3533" localSheetId="1">財報紅綠燈!#REF!</definedName>
    <definedName name="外部資料_3535" localSheetId="1">財報紅綠燈!#REF!</definedName>
    <definedName name="外部資料_3536" localSheetId="1">財報紅綠燈!#REF!</definedName>
    <definedName name="外部資料_3537" localSheetId="1">財報紅綠燈!#REF!</definedName>
    <definedName name="外部資料_3539" localSheetId="1">財報紅綠燈!#REF!</definedName>
    <definedName name="外部資料_354" localSheetId="8">PKA!#REF!</definedName>
    <definedName name="外部資料_354" localSheetId="9">PKB!#REF!</definedName>
    <definedName name="外部資料_354" localSheetId="10">PKC!#REF!</definedName>
    <definedName name="外部資料_354" localSheetId="1">財報紅綠燈!#REF!</definedName>
    <definedName name="外部資料_3540" localSheetId="1">財報紅綠燈!#REF!</definedName>
    <definedName name="外部資料_3541" localSheetId="1">財報紅綠燈!#REF!</definedName>
    <definedName name="外部資料_3543" localSheetId="1">財報紅綠燈!#REF!</definedName>
    <definedName name="外部資料_3544" localSheetId="1">財報紅綠燈!#REF!</definedName>
    <definedName name="外部資料_3545" localSheetId="1">財報紅綠燈!#REF!</definedName>
    <definedName name="外部資料_3547" localSheetId="1">財報紅綠燈!#REF!</definedName>
    <definedName name="外部資料_3548" localSheetId="1">財報紅綠燈!#REF!</definedName>
    <definedName name="外部資料_3549" localSheetId="1">財報紅綠燈!#REF!</definedName>
    <definedName name="外部資料_355" localSheetId="8">PKA!#REF!</definedName>
    <definedName name="外部資料_355" localSheetId="9">PKB!#REF!</definedName>
    <definedName name="外部資料_355" localSheetId="10">PKC!#REF!</definedName>
    <definedName name="外部資料_3551" localSheetId="1">財報紅綠燈!#REF!</definedName>
    <definedName name="外部資料_3552" localSheetId="1">財報紅綠燈!#REF!</definedName>
    <definedName name="外部資料_3553" localSheetId="1">財報紅綠燈!#REF!</definedName>
    <definedName name="外部資料_3555" localSheetId="1">財報紅綠燈!#REF!</definedName>
    <definedName name="外部資料_3556" localSheetId="1">財報紅綠燈!#REF!</definedName>
    <definedName name="外部資料_3557" localSheetId="1">財報紅綠燈!#REF!</definedName>
    <definedName name="外部資料_3559" localSheetId="1">財報紅綠燈!#REF!</definedName>
    <definedName name="外部資料_356" localSheetId="8">PKA!#REF!</definedName>
    <definedName name="外部資料_356" localSheetId="9">PKB!#REF!</definedName>
    <definedName name="外部資料_356" localSheetId="10">PKC!#REF!</definedName>
    <definedName name="外部資料_356" localSheetId="1">財報紅綠燈!#REF!</definedName>
    <definedName name="外部資料_3560" localSheetId="1">財報紅綠燈!#REF!</definedName>
    <definedName name="外部資料_3561" localSheetId="1">財報紅綠燈!#REF!</definedName>
    <definedName name="外部資料_3563" localSheetId="1">財報紅綠燈!#REF!</definedName>
    <definedName name="外部資料_3564" localSheetId="1">財報紅綠燈!#REF!</definedName>
    <definedName name="外部資料_3565" localSheetId="1">財報紅綠燈!#REF!</definedName>
    <definedName name="外部資料_3567" localSheetId="1">財報紅綠燈!#REF!</definedName>
    <definedName name="外部資料_3568" localSheetId="1">財報紅綠燈!#REF!</definedName>
    <definedName name="外部資料_3569" localSheetId="1">財報紅綠燈!#REF!</definedName>
    <definedName name="外部資料_357" localSheetId="8">PKA!#REF!</definedName>
    <definedName name="外部資料_357" localSheetId="9">PKB!#REF!</definedName>
    <definedName name="外部資料_357" localSheetId="10">PKC!#REF!</definedName>
    <definedName name="外部資料_357" localSheetId="1">財報紅綠燈!#REF!</definedName>
    <definedName name="外部資料_3571" localSheetId="1">財報紅綠燈!#REF!</definedName>
    <definedName name="外部資料_3572" localSheetId="1">財報紅綠燈!#REF!</definedName>
    <definedName name="外部資料_3573" localSheetId="1">財報紅綠燈!#REF!</definedName>
    <definedName name="外部資料_3575" localSheetId="1">財報紅綠燈!#REF!</definedName>
    <definedName name="外部資料_3576" localSheetId="1">財報紅綠燈!#REF!</definedName>
    <definedName name="外部資料_3577" localSheetId="1">財報紅綠燈!#REF!</definedName>
    <definedName name="外部資料_3579" localSheetId="1">財報紅綠燈!#REF!</definedName>
    <definedName name="外部資料_358" localSheetId="8">PKA!#REF!</definedName>
    <definedName name="外部資料_358" localSheetId="9">PKB!#REF!</definedName>
    <definedName name="外部資料_358" localSheetId="10">PKC!#REF!</definedName>
    <definedName name="外部資料_358" localSheetId="1">財報紅綠燈!#REF!</definedName>
    <definedName name="外部資料_3580" localSheetId="1">財報紅綠燈!#REF!</definedName>
    <definedName name="外部資料_3581" localSheetId="1">財報紅綠燈!#REF!</definedName>
    <definedName name="外部資料_3583" localSheetId="1">財報紅綠燈!#REF!</definedName>
    <definedName name="外部資料_3584" localSheetId="1">財報紅綠燈!#REF!</definedName>
    <definedName name="外部資料_3585" localSheetId="1">財報紅綠燈!#REF!</definedName>
    <definedName name="外部資料_3587" localSheetId="1">財報紅綠燈!#REF!</definedName>
    <definedName name="外部資料_3588" localSheetId="1">財報紅綠燈!#REF!</definedName>
    <definedName name="外部資料_3589" localSheetId="1">財報紅綠燈!#REF!</definedName>
    <definedName name="外部資料_359" localSheetId="8">PKA!#REF!</definedName>
    <definedName name="外部資料_359" localSheetId="9">PKB!#REF!</definedName>
    <definedName name="外部資料_359" localSheetId="10">PKC!#REF!</definedName>
    <definedName name="外部資料_3591" localSheetId="1">財報紅綠燈!#REF!</definedName>
    <definedName name="外部資料_3592" localSheetId="1">財報紅綠燈!#REF!</definedName>
    <definedName name="外部資料_3593" localSheetId="1">財報紅綠燈!#REF!</definedName>
    <definedName name="外部資料_3595" localSheetId="1">財報紅綠燈!#REF!</definedName>
    <definedName name="外部資料_3596" localSheetId="1">財報紅綠燈!#REF!</definedName>
    <definedName name="外部資料_3597" localSheetId="1">財報紅綠燈!#REF!</definedName>
    <definedName name="外部資料_3599" localSheetId="1">財報紅綠燈!#REF!</definedName>
    <definedName name="外部資料_36" localSheetId="8">PKA!#REF!</definedName>
    <definedName name="外部資料_36" localSheetId="9">PKB!#REF!</definedName>
    <definedName name="外部資料_36" localSheetId="10">PKC!#REF!</definedName>
    <definedName name="外部資料_36" localSheetId="1">財報紅綠燈!#REF!</definedName>
    <definedName name="外部資料_36" localSheetId="5">評比系統!#REF!</definedName>
    <definedName name="外部資料_36" localSheetId="3">篩股系統!#REF!</definedName>
    <definedName name="外部資料_360" localSheetId="8">PKA!#REF!</definedName>
    <definedName name="外部資料_360" localSheetId="9">PKB!#REF!</definedName>
    <definedName name="外部資料_360" localSheetId="10">PKC!#REF!</definedName>
    <definedName name="外部資料_360" localSheetId="1">財報紅綠燈!#REF!</definedName>
    <definedName name="外部資料_3600" localSheetId="1">財報紅綠燈!#REF!</definedName>
    <definedName name="外部資料_3601" localSheetId="1">財報紅綠燈!#REF!</definedName>
    <definedName name="外部資料_3603" localSheetId="1">財報紅綠燈!#REF!</definedName>
    <definedName name="外部資料_3604" localSheetId="1">財報紅綠燈!#REF!</definedName>
    <definedName name="外部資料_3605" localSheetId="1">財報紅綠燈!#REF!</definedName>
    <definedName name="外部資料_3607" localSheetId="1">財報紅綠燈!#REF!</definedName>
    <definedName name="外部資料_3608" localSheetId="1">財報紅綠燈!#REF!</definedName>
    <definedName name="外部資料_3609" localSheetId="1">財報紅綠燈!#REF!</definedName>
    <definedName name="外部資料_361" localSheetId="8">PKA!#REF!</definedName>
    <definedName name="外部資料_361" localSheetId="9">PKB!#REF!</definedName>
    <definedName name="外部資料_361" localSheetId="10">PKC!#REF!</definedName>
    <definedName name="外部資料_361" localSheetId="1">財報紅綠燈!#REF!</definedName>
    <definedName name="外部資料_3611" localSheetId="1">財報紅綠燈!#REF!</definedName>
    <definedName name="外部資料_3612" localSheetId="1">財報紅綠燈!#REF!</definedName>
    <definedName name="外部資料_3613" localSheetId="1">財報紅綠燈!#REF!</definedName>
    <definedName name="外部資料_3615" localSheetId="1">財報紅綠燈!#REF!</definedName>
    <definedName name="外部資料_3616" localSheetId="1">財報紅綠燈!#REF!</definedName>
    <definedName name="外部資料_3617" localSheetId="1">財報紅綠燈!#REF!</definedName>
    <definedName name="外部資料_3619" localSheetId="1">財報紅綠燈!#REF!</definedName>
    <definedName name="外部資料_362" localSheetId="8">PKA!#REF!</definedName>
    <definedName name="外部資料_362" localSheetId="9">PKB!#REF!</definedName>
    <definedName name="外部資料_362" localSheetId="10">PKC!#REF!</definedName>
    <definedName name="外部資料_3620" localSheetId="1">財報紅綠燈!#REF!</definedName>
    <definedName name="外部資料_3621" localSheetId="1">財報紅綠燈!#REF!</definedName>
    <definedName name="外部資料_3623" localSheetId="1">財報紅綠燈!#REF!</definedName>
    <definedName name="外部資料_3624" localSheetId="1">財報紅綠燈!#REF!</definedName>
    <definedName name="外部資料_3625" localSheetId="1">財報紅綠燈!#REF!</definedName>
    <definedName name="外部資料_3627" localSheetId="1">財報紅綠燈!#REF!</definedName>
    <definedName name="外部資料_3628" localSheetId="1">財報紅綠燈!#REF!</definedName>
    <definedName name="外部資料_3629" localSheetId="1">財報紅綠燈!#REF!</definedName>
    <definedName name="外部資料_363" localSheetId="8">PKA!#REF!</definedName>
    <definedName name="外部資料_363" localSheetId="9">PKB!#REF!</definedName>
    <definedName name="外部資料_363" localSheetId="10">PKC!#REF!</definedName>
    <definedName name="外部資料_363" localSheetId="1">財報紅綠燈!#REF!</definedName>
    <definedName name="外部資料_3631" localSheetId="1">財報紅綠燈!#REF!</definedName>
    <definedName name="外部資料_3632" localSheetId="1">財報紅綠燈!#REF!</definedName>
    <definedName name="外部資料_3633" localSheetId="1">財報紅綠燈!#REF!</definedName>
    <definedName name="外部資料_3635" localSheetId="1">財報紅綠燈!#REF!</definedName>
    <definedName name="外部資料_3636" localSheetId="1">財報紅綠燈!#REF!</definedName>
    <definedName name="外部資料_3638" localSheetId="1">財報紅綠燈!#REF!</definedName>
    <definedName name="外部資料_3639" localSheetId="1">財報紅綠燈!#REF!</definedName>
    <definedName name="外部資料_364" localSheetId="8">PKA!#REF!</definedName>
    <definedName name="外部資料_364" localSheetId="9">PKB!#REF!</definedName>
    <definedName name="外部資料_364" localSheetId="10">PKC!#REF!</definedName>
    <definedName name="外部資料_364" localSheetId="1">財報紅綠燈!#REF!</definedName>
    <definedName name="外部資料_3640" localSheetId="1">財報紅綠燈!#REF!</definedName>
    <definedName name="外部資料_3642" localSheetId="1">財報紅綠燈!#REF!</definedName>
    <definedName name="外部資料_3643" localSheetId="1">財報紅綠燈!#REF!</definedName>
    <definedName name="外部資料_3644" localSheetId="1">財報紅綠燈!#REF!</definedName>
    <definedName name="外部資料_3646" localSheetId="1">財報紅綠燈!#REF!</definedName>
    <definedName name="外部資料_3647" localSheetId="1">財報紅綠燈!#REF!</definedName>
    <definedName name="外部資料_3648" localSheetId="1">財報紅綠燈!#REF!</definedName>
    <definedName name="外部資料_365" localSheetId="8">PKA!#REF!</definedName>
    <definedName name="外部資料_365" localSheetId="9">PKB!#REF!</definedName>
    <definedName name="外部資料_365" localSheetId="10">PKC!#REF!</definedName>
    <definedName name="外部資料_3650" localSheetId="1">財報紅綠燈!#REF!</definedName>
    <definedName name="外部資料_3651" localSheetId="1">財報紅綠燈!#REF!</definedName>
    <definedName name="外部資料_3652" localSheetId="1">財報紅綠燈!#REF!</definedName>
    <definedName name="外部資料_3654" localSheetId="1">財報紅綠燈!#REF!</definedName>
    <definedName name="外部資料_3655" localSheetId="1">財報紅綠燈!#REF!</definedName>
    <definedName name="外部資料_3656" localSheetId="1">財報紅綠燈!#REF!</definedName>
    <definedName name="外部資料_3658" localSheetId="1">財報紅綠燈!#REF!</definedName>
    <definedName name="外部資料_3659" localSheetId="1">財報紅綠燈!#REF!</definedName>
    <definedName name="外部資料_366" localSheetId="8">PKA!#REF!</definedName>
    <definedName name="外部資料_366" localSheetId="9">PKB!#REF!</definedName>
    <definedName name="外部資料_366" localSheetId="10">PKC!#REF!</definedName>
    <definedName name="外部資料_366" localSheetId="1">財報紅綠燈!#REF!</definedName>
    <definedName name="外部資料_3660" localSheetId="1">財報紅綠燈!#REF!</definedName>
    <definedName name="外部資料_3662" localSheetId="1">財報紅綠燈!#REF!</definedName>
    <definedName name="外部資料_3663" localSheetId="1">財報紅綠燈!#REF!</definedName>
    <definedName name="外部資料_3664" localSheetId="1">財報紅綠燈!#REF!</definedName>
    <definedName name="外部資料_3666" localSheetId="1">財報紅綠燈!#REF!</definedName>
    <definedName name="外部資料_3667" localSheetId="1">財報紅綠燈!#REF!</definedName>
    <definedName name="外部資料_3668" localSheetId="1">財報紅綠燈!#REF!</definedName>
    <definedName name="外部資料_367" localSheetId="8">PKA!#REF!</definedName>
    <definedName name="外部資料_367" localSheetId="9">PKB!#REF!</definedName>
    <definedName name="外部資料_367" localSheetId="10">PKC!#REF!</definedName>
    <definedName name="外部資料_367" localSheetId="1">財報紅綠燈!#REF!</definedName>
    <definedName name="外部資料_3670" localSheetId="1">財報紅綠燈!#REF!</definedName>
    <definedName name="外部資料_3671" localSheetId="1">財報紅綠燈!#REF!</definedName>
    <definedName name="外部資料_3673" localSheetId="1">財報紅綠燈!#REF!</definedName>
    <definedName name="外部資料_3674" localSheetId="1">財報紅綠燈!#REF!</definedName>
    <definedName name="外部資料_3675" localSheetId="1">財報紅綠燈!#REF!</definedName>
    <definedName name="外部資料_3677" localSheetId="1">財報紅綠燈!#REF!</definedName>
    <definedName name="外部資料_3678" localSheetId="1">財報紅綠燈!#REF!</definedName>
    <definedName name="外部資料_3679" localSheetId="1">財報紅綠燈!#REF!</definedName>
    <definedName name="外部資料_368" localSheetId="8">PKA!#REF!</definedName>
    <definedName name="外部資料_368" localSheetId="9">PKB!#REF!</definedName>
    <definedName name="外部資料_368" localSheetId="10">PKC!#REF!</definedName>
    <definedName name="外部資料_368" localSheetId="1">財報紅綠燈!#REF!</definedName>
    <definedName name="外部資料_3681" localSheetId="1">財報紅綠燈!#REF!</definedName>
    <definedName name="外部資料_3682" localSheetId="1">財報紅綠燈!#REF!</definedName>
    <definedName name="外部資料_3685" localSheetId="1">財報紅綠燈!#REF!</definedName>
    <definedName name="外部資料_3686" localSheetId="1">財報紅綠燈!#REF!</definedName>
    <definedName name="外部資料_3689" localSheetId="1">財報紅綠燈!#REF!</definedName>
    <definedName name="外部資料_369" localSheetId="8">PKA!#REF!</definedName>
    <definedName name="外部資料_369" localSheetId="9">PKB!#REF!</definedName>
    <definedName name="外部資料_369" localSheetId="10">PKC!#REF!</definedName>
    <definedName name="外部資料_3690" localSheetId="1">財報紅綠燈!#REF!</definedName>
    <definedName name="外部資料_3693" localSheetId="1">財報紅綠燈!#REF!</definedName>
    <definedName name="外部資料_3694" localSheetId="1">財報紅綠燈!#REF!</definedName>
    <definedName name="外部資料_3695" localSheetId="1">財報紅綠燈!#REF!</definedName>
    <definedName name="外部資料_3697" localSheetId="1">財報紅綠燈!#REF!</definedName>
    <definedName name="外部資料_3698" localSheetId="1">財報紅綠燈!#REF!</definedName>
    <definedName name="外部資料_3699" localSheetId="1">財報紅綠燈!#REF!</definedName>
    <definedName name="外部資料_37" localSheetId="8">PKA!#REF!</definedName>
    <definedName name="外部資料_37" localSheetId="9">PKB!#REF!</definedName>
    <definedName name="外部資料_37" localSheetId="10">PKC!#REF!</definedName>
    <definedName name="外部資料_37" localSheetId="1">財報紅綠燈!#REF!</definedName>
    <definedName name="外部資料_37" localSheetId="5">評比系統!#REF!</definedName>
    <definedName name="外部資料_37" localSheetId="3">篩股系統!#REF!</definedName>
    <definedName name="外部資料_370" localSheetId="8">PKA!#REF!</definedName>
    <definedName name="外部資料_370" localSheetId="9">PKB!#REF!</definedName>
    <definedName name="外部資料_370" localSheetId="10">PKC!#REF!</definedName>
    <definedName name="外部資料_370" localSheetId="1">財報紅綠燈!#REF!</definedName>
    <definedName name="外部資料_3701" localSheetId="1">財報紅綠燈!#REF!</definedName>
    <definedName name="外部資料_3702" localSheetId="1">財報紅綠燈!#REF!</definedName>
    <definedName name="外部資料_3703" localSheetId="1">財報紅綠燈!#REF!</definedName>
    <definedName name="外部資料_3705" localSheetId="1">財報紅綠燈!#REF!</definedName>
    <definedName name="外部資料_3706" localSheetId="1">財報紅綠燈!#REF!</definedName>
    <definedName name="外部資料_3707" localSheetId="1">財報紅綠燈!#REF!</definedName>
    <definedName name="外部資料_3709" localSheetId="1">財報紅綠燈!#REF!</definedName>
    <definedName name="外部資料_371" localSheetId="8">PKA!#REF!</definedName>
    <definedName name="外部資料_371" localSheetId="9">PKB!#REF!</definedName>
    <definedName name="外部資料_371" localSheetId="10">PKC!#REF!</definedName>
    <definedName name="外部資料_371" localSheetId="1">財報紅綠燈!#REF!</definedName>
    <definedName name="外部資料_3710" localSheetId="1">財報紅綠燈!#REF!</definedName>
    <definedName name="外部資料_3711" localSheetId="1">財報紅綠燈!#REF!</definedName>
    <definedName name="外部資料_3713" localSheetId="1">財報紅綠燈!#REF!</definedName>
    <definedName name="外部資料_3714" localSheetId="1">財報紅綠燈!#REF!</definedName>
    <definedName name="外部資料_3715" localSheetId="1">財報紅綠燈!#REF!</definedName>
    <definedName name="外部資料_3717" localSheetId="1">財報紅綠燈!#REF!</definedName>
    <definedName name="外部資料_3718" localSheetId="1">財報紅綠燈!#REF!</definedName>
    <definedName name="外部資料_3719" localSheetId="1">財報紅綠燈!#REF!</definedName>
    <definedName name="外部資料_372" localSheetId="8">PKA!#REF!</definedName>
    <definedName name="外部資料_372" localSheetId="9">PKB!#REF!</definedName>
    <definedName name="外部資料_372" localSheetId="10">PKC!#REF!</definedName>
    <definedName name="外部資料_372" localSheetId="1">財報紅綠燈!#REF!</definedName>
    <definedName name="外部資料_3721" localSheetId="1">財報紅綠燈!#REF!</definedName>
    <definedName name="外部資料_3722" localSheetId="1">財報紅綠燈!#REF!</definedName>
    <definedName name="外部資料_3723" localSheetId="1">財報紅綠燈!#REF!</definedName>
    <definedName name="外部資料_3725" localSheetId="1">財報紅綠燈!#REF!</definedName>
    <definedName name="外部資料_3726" localSheetId="1">財報紅綠燈!#REF!</definedName>
    <definedName name="外部資料_3727" localSheetId="1">財報紅綠燈!#REF!</definedName>
    <definedName name="外部資料_3729" localSheetId="1">財報紅綠燈!#REF!</definedName>
    <definedName name="外部資料_373" localSheetId="8">PKA!#REF!</definedName>
    <definedName name="外部資料_373" localSheetId="9">PKB!#REF!</definedName>
    <definedName name="外部資料_373" localSheetId="10">PKC!#REF!</definedName>
    <definedName name="外部資料_3730" localSheetId="1">財報紅綠燈!#REF!</definedName>
    <definedName name="外部資料_3731" localSheetId="1">財報紅綠燈!#REF!</definedName>
    <definedName name="外部資料_3733" localSheetId="1">財報紅綠燈!#REF!</definedName>
    <definedName name="外部資料_3734" localSheetId="1">財報紅綠燈!#REF!</definedName>
    <definedName name="外部資料_3735" localSheetId="1">財報紅綠燈!#REF!</definedName>
    <definedName name="外部資料_3737" localSheetId="1">財報紅綠燈!#REF!</definedName>
    <definedName name="外部資料_3738" localSheetId="1">財報紅綠燈!#REF!</definedName>
    <definedName name="外部資料_3739" localSheetId="1">財報紅綠燈!#REF!</definedName>
    <definedName name="外部資料_374" localSheetId="8">PKA!#REF!</definedName>
    <definedName name="外部資料_374" localSheetId="9">PKB!#REF!</definedName>
    <definedName name="外部資料_374" localSheetId="10">PKC!#REF!</definedName>
    <definedName name="外部資料_374" localSheetId="1">財報紅綠燈!#REF!</definedName>
    <definedName name="外部資料_3741" localSheetId="1">財報紅綠燈!#REF!</definedName>
    <definedName name="外部資料_3742" localSheetId="1">財報紅綠燈!#REF!</definedName>
    <definedName name="外部資料_3743" localSheetId="1">財報紅綠燈!#REF!</definedName>
    <definedName name="外部資料_3745" localSheetId="1">財報紅綠燈!#REF!</definedName>
    <definedName name="外部資料_3746" localSheetId="1">財報紅綠燈!#REF!</definedName>
    <definedName name="外部資料_3747" localSheetId="1">財報紅綠燈!#REF!</definedName>
    <definedName name="外部資料_3749" localSheetId="1">財報紅綠燈!#REF!</definedName>
    <definedName name="外部資料_375" localSheetId="8">PKA!#REF!</definedName>
    <definedName name="外部資料_375" localSheetId="9">PKB!#REF!</definedName>
    <definedName name="外部資料_375" localSheetId="10">PKC!#REF!</definedName>
    <definedName name="外部資料_375" localSheetId="1">財報紅綠燈!#REF!</definedName>
    <definedName name="外部資料_3750" localSheetId="1">財報紅綠燈!#REF!</definedName>
    <definedName name="外部資料_3751" localSheetId="1">財報紅綠燈!#REF!</definedName>
    <definedName name="外部資料_3753" localSheetId="1">財報紅綠燈!#REF!</definedName>
    <definedName name="外部資料_3754" localSheetId="1">財報紅綠燈!#REF!</definedName>
    <definedName name="外部資料_3755" localSheetId="1">財報紅綠燈!#REF!</definedName>
    <definedName name="外部資料_3757" localSheetId="1">財報紅綠燈!#REF!</definedName>
    <definedName name="外部資料_3758" localSheetId="1">財報紅綠燈!#REF!</definedName>
    <definedName name="外部資料_3759" localSheetId="1">財報紅綠燈!#REF!</definedName>
    <definedName name="外部資料_376" localSheetId="8">PKA!#REF!</definedName>
    <definedName name="外部資料_376" localSheetId="9">PKB!#REF!</definedName>
    <definedName name="外部資料_376" localSheetId="10">PKC!#REF!</definedName>
    <definedName name="外部資料_376" localSheetId="1">財報紅綠燈!#REF!</definedName>
    <definedName name="外部資料_3761" localSheetId="1">財報紅綠燈!#REF!</definedName>
    <definedName name="外部資料_3762" localSheetId="1">財報紅綠燈!#REF!</definedName>
    <definedName name="外部資料_3763" localSheetId="1">財報紅綠燈!#REF!</definedName>
    <definedName name="外部資料_3765" localSheetId="1">財報紅綠燈!#REF!</definedName>
    <definedName name="外部資料_3766" localSheetId="1">財報紅綠燈!#REF!</definedName>
    <definedName name="外部資料_3767" localSheetId="1">財報紅綠燈!#REF!</definedName>
    <definedName name="外部資料_3769" localSheetId="1">財報紅綠燈!#REF!</definedName>
    <definedName name="外部資料_377" localSheetId="8">PKA!#REF!</definedName>
    <definedName name="外部資料_377" localSheetId="9">PKB!#REF!</definedName>
    <definedName name="外部資料_377" localSheetId="10">PKC!#REF!</definedName>
    <definedName name="外部資料_3770" localSheetId="1">財報紅綠燈!#REF!</definedName>
    <definedName name="外部資料_3771" localSheetId="1">財報紅綠燈!#REF!</definedName>
    <definedName name="外部資料_3773" localSheetId="1">財報紅綠燈!#REF!</definedName>
    <definedName name="外部資料_3774" localSheetId="1">財報紅綠燈!#REF!</definedName>
    <definedName name="外部資料_3775" localSheetId="1">財報紅綠燈!#REF!</definedName>
    <definedName name="外部資料_3777" localSheetId="1">財報紅綠燈!#REF!</definedName>
    <definedName name="外部資料_3778" localSheetId="1">財報紅綠燈!#REF!</definedName>
    <definedName name="外部資料_3779" localSheetId="1">財報紅綠燈!#REF!</definedName>
    <definedName name="外部資料_378" localSheetId="8">PKA!#REF!</definedName>
    <definedName name="外部資料_378" localSheetId="9">PKB!#REF!</definedName>
    <definedName name="外部資料_378" localSheetId="10">PKC!#REF!</definedName>
    <definedName name="外部資料_378" localSheetId="1">財報紅綠燈!#REF!</definedName>
    <definedName name="外部資料_3781" localSheetId="1">財報紅綠燈!#REF!</definedName>
    <definedName name="外部資料_3782" localSheetId="1">財報紅綠燈!#REF!</definedName>
    <definedName name="外部資料_3783" localSheetId="1">財報紅綠燈!#REF!</definedName>
    <definedName name="外部資料_3785" localSheetId="1">財報紅綠燈!#REF!</definedName>
    <definedName name="外部資料_3786" localSheetId="1">財報紅綠燈!#REF!</definedName>
    <definedName name="外部資料_3787" localSheetId="1">財報紅綠燈!#REF!</definedName>
    <definedName name="外部資料_3789" localSheetId="1">財報紅綠燈!#REF!</definedName>
    <definedName name="外部資料_379" localSheetId="8">PKA!#REF!</definedName>
    <definedName name="外部資料_379" localSheetId="9">PKB!#REF!</definedName>
    <definedName name="外部資料_379" localSheetId="10">PKC!#REF!</definedName>
    <definedName name="外部資料_379" localSheetId="1">財報紅綠燈!#REF!</definedName>
    <definedName name="外部資料_3790" localSheetId="1">財報紅綠燈!#REF!</definedName>
    <definedName name="外部資料_3791" localSheetId="1">財報紅綠燈!#REF!</definedName>
    <definedName name="外部資料_3793" localSheetId="1">財報紅綠燈!#REF!</definedName>
    <definedName name="外部資料_3794" localSheetId="1">財報紅綠燈!#REF!</definedName>
    <definedName name="外部資料_3795" localSheetId="1">財報紅綠燈!#REF!</definedName>
    <definedName name="外部資料_3797" localSheetId="1">財報紅綠燈!#REF!</definedName>
    <definedName name="外部資料_3798" localSheetId="1">財報紅綠燈!#REF!</definedName>
    <definedName name="外部資料_3799" localSheetId="1">財報紅綠燈!#REF!</definedName>
    <definedName name="外部資料_38" localSheetId="8">PKA!#REF!</definedName>
    <definedName name="外部資料_38" localSheetId="9">PKB!#REF!</definedName>
    <definedName name="外部資料_38" localSheetId="10">PKC!#REF!</definedName>
    <definedName name="外部資料_38" localSheetId="1">財報紅綠燈!#REF!</definedName>
    <definedName name="外部資料_38" localSheetId="5">評比系統!#REF!</definedName>
    <definedName name="外部資料_38" localSheetId="3">篩股系統!#REF!</definedName>
    <definedName name="外部資料_380" localSheetId="8">PKA!#REF!</definedName>
    <definedName name="外部資料_380" localSheetId="9">PKB!#REF!</definedName>
    <definedName name="外部資料_380" localSheetId="10">PKC!#REF!</definedName>
    <definedName name="外部資料_380" localSheetId="1">財報紅綠燈!#REF!</definedName>
    <definedName name="外部資料_3801" localSheetId="1">財報紅綠燈!#REF!</definedName>
    <definedName name="外部資料_3802" localSheetId="1">財報紅綠燈!#REF!</definedName>
    <definedName name="外部資料_3803" localSheetId="1">財報紅綠燈!#REF!</definedName>
    <definedName name="外部資料_3805" localSheetId="1">財報紅綠燈!#REF!</definedName>
    <definedName name="外部資料_3806" localSheetId="1">財報紅綠燈!#REF!</definedName>
    <definedName name="外部資料_3807" localSheetId="1">財報紅綠燈!#REF!</definedName>
    <definedName name="外部資料_3809" localSheetId="1">財報紅綠燈!#REF!</definedName>
    <definedName name="外部資料_381" localSheetId="8">PKA!#REF!</definedName>
    <definedName name="外部資料_381" localSheetId="9">PKB!#REF!</definedName>
    <definedName name="外部資料_381" localSheetId="10">PKC!#REF!</definedName>
    <definedName name="外部資料_3810" localSheetId="1">財報紅綠燈!#REF!</definedName>
    <definedName name="外部資料_3811" localSheetId="1">財報紅綠燈!#REF!</definedName>
    <definedName name="外部資料_3813" localSheetId="1">財報紅綠燈!#REF!</definedName>
    <definedName name="外部資料_3814" localSheetId="1">財報紅綠燈!#REF!</definedName>
    <definedName name="外部資料_3815" localSheetId="1">財報紅綠燈!#REF!</definedName>
    <definedName name="外部資料_3817" localSheetId="1">財報紅綠燈!#REF!</definedName>
    <definedName name="外部資料_3818" localSheetId="1">財報紅綠燈!#REF!</definedName>
    <definedName name="外部資料_3819" localSheetId="1">財報紅綠燈!#REF!</definedName>
    <definedName name="外部資料_382" localSheetId="8">PKA!#REF!</definedName>
    <definedName name="外部資料_382" localSheetId="9">PKB!#REF!</definedName>
    <definedName name="外部資料_382" localSheetId="10">PKC!#REF!</definedName>
    <definedName name="外部資料_382" localSheetId="1">財報紅綠燈!#REF!</definedName>
    <definedName name="外部資料_3821" localSheetId="1">財報紅綠燈!#REF!</definedName>
    <definedName name="外部資料_3822" localSheetId="1">財報紅綠燈!#REF!</definedName>
    <definedName name="外部資料_3823" localSheetId="1">財報紅綠燈!#REF!</definedName>
    <definedName name="外部資料_3825" localSheetId="1">財報紅綠燈!#REF!</definedName>
    <definedName name="外部資料_3826" localSheetId="1">財報紅綠燈!#REF!</definedName>
    <definedName name="外部資料_3827" localSheetId="1">財報紅綠燈!#REF!</definedName>
    <definedName name="外部資料_3829" localSheetId="1">財報紅綠燈!#REF!</definedName>
    <definedName name="外部資料_383" localSheetId="8">PKA!#REF!</definedName>
    <definedName name="外部資料_383" localSheetId="9">PKB!#REF!</definedName>
    <definedName name="外部資料_383" localSheetId="10">PKC!#REF!</definedName>
    <definedName name="外部資料_383" localSheetId="1">財報紅綠燈!#REF!</definedName>
    <definedName name="外部資料_3830" localSheetId="1">財報紅綠燈!#REF!</definedName>
    <definedName name="外部資料_3831" localSheetId="1">財報紅綠燈!#REF!</definedName>
    <definedName name="外部資料_3833" localSheetId="1">財報紅綠燈!#REF!</definedName>
    <definedName name="外部資料_3834" localSheetId="1">財報紅綠燈!#REF!</definedName>
    <definedName name="外部資料_3836" localSheetId="1">財報紅綠燈!#REF!</definedName>
    <definedName name="外部資料_3837" localSheetId="1">財報紅綠燈!#REF!</definedName>
    <definedName name="外部資料_3838" localSheetId="1">財報紅綠燈!#REF!</definedName>
    <definedName name="外部資料_384" localSheetId="8">PKA!#REF!</definedName>
    <definedName name="外部資料_384" localSheetId="9">PKB!#REF!</definedName>
    <definedName name="外部資料_384" localSheetId="10">PKC!#REF!</definedName>
    <definedName name="外部資料_384" localSheetId="1">財報紅綠燈!#REF!</definedName>
    <definedName name="外部資料_3840" localSheetId="1">財報紅綠燈!#REF!</definedName>
    <definedName name="外部資料_3841" localSheetId="1">財報紅綠燈!#REF!</definedName>
    <definedName name="外部資料_3842" localSheetId="1">財報紅綠燈!#REF!</definedName>
    <definedName name="外部資料_3844" localSheetId="1">財報紅綠燈!#REF!</definedName>
    <definedName name="外部資料_3845" localSheetId="1">財報紅綠燈!#REF!</definedName>
    <definedName name="外部資料_3846" localSheetId="1">財報紅綠燈!#REF!</definedName>
    <definedName name="外部資料_3848" localSheetId="1">財報紅綠燈!#REF!</definedName>
    <definedName name="外部資料_3849" localSheetId="1">財報紅綠燈!#REF!</definedName>
    <definedName name="外部資料_385" localSheetId="8">PKA!#REF!</definedName>
    <definedName name="外部資料_385" localSheetId="9">PKB!#REF!</definedName>
    <definedName name="外部資料_385" localSheetId="10">PKC!#REF!</definedName>
    <definedName name="外部資料_3850" localSheetId="1">財報紅綠燈!#REF!</definedName>
    <definedName name="外部資料_3852" localSheetId="1">財報紅綠燈!#REF!</definedName>
    <definedName name="外部資料_3853" localSheetId="1">財報紅綠燈!#REF!</definedName>
    <definedName name="外部資料_3854" localSheetId="1">財報紅綠燈!#REF!</definedName>
    <definedName name="外部資料_3856" localSheetId="1">財報紅綠燈!#REF!</definedName>
    <definedName name="外部資料_3857" localSheetId="1">財報紅綠燈!#REF!</definedName>
    <definedName name="外部資料_3858" localSheetId="1">財報紅綠燈!#REF!</definedName>
    <definedName name="外部資料_386" localSheetId="8">PKA!#REF!</definedName>
    <definedName name="外部資料_386" localSheetId="9">PKB!#REF!</definedName>
    <definedName name="外部資料_386" localSheetId="10">PKC!#REF!</definedName>
    <definedName name="外部資料_386" localSheetId="1">財報紅綠燈!#REF!</definedName>
    <definedName name="外部資料_3860" localSheetId="1">財報紅綠燈!#REF!</definedName>
    <definedName name="外部資料_3861" localSheetId="1">財報紅綠燈!#REF!</definedName>
    <definedName name="外部資料_3862" localSheetId="1">財報紅綠燈!#REF!</definedName>
    <definedName name="外部資料_3864" localSheetId="1">財報紅綠燈!#REF!</definedName>
    <definedName name="外部資料_3865" localSheetId="1">財報紅綠燈!#REF!</definedName>
    <definedName name="外部資料_3866" localSheetId="1">財報紅綠燈!#REF!</definedName>
    <definedName name="外部資料_3868" localSheetId="1">財報紅綠燈!#REF!</definedName>
    <definedName name="外部資料_3869" localSheetId="1">財報紅綠燈!#REF!</definedName>
    <definedName name="外部資料_387" localSheetId="8">PKA!#REF!</definedName>
    <definedName name="外部資料_387" localSheetId="9">PKB!#REF!</definedName>
    <definedName name="外部資料_387" localSheetId="10">PKC!#REF!</definedName>
    <definedName name="外部資料_387" localSheetId="1">財報紅綠燈!#REF!</definedName>
    <definedName name="外部資料_3870" localSheetId="1">財報紅綠燈!#REF!</definedName>
    <definedName name="外部資料_3872" localSheetId="1">財報紅綠燈!#REF!</definedName>
    <definedName name="外部資料_3873" localSheetId="1">財報紅綠燈!#REF!</definedName>
    <definedName name="外部資料_3874" localSheetId="1">財報紅綠燈!#REF!</definedName>
    <definedName name="外部資料_3876" localSheetId="1">財報紅綠燈!#REF!</definedName>
    <definedName name="外部資料_3877" localSheetId="1">財報紅綠燈!#REF!</definedName>
    <definedName name="外部資料_3878" localSheetId="1">財報紅綠燈!#REF!</definedName>
    <definedName name="外部資料_388" localSheetId="8">PKA!#REF!</definedName>
    <definedName name="外部資料_388" localSheetId="9">PKB!#REF!</definedName>
    <definedName name="外部資料_388" localSheetId="10">PKC!#REF!</definedName>
    <definedName name="外部資料_388" localSheetId="1">財報紅綠燈!#REF!</definedName>
    <definedName name="外部資料_3880" localSheetId="1">財報紅綠燈!#REF!</definedName>
    <definedName name="外部資料_3881" localSheetId="1">財報紅綠燈!#REF!</definedName>
    <definedName name="外部資料_3882" localSheetId="1">財報紅綠燈!#REF!</definedName>
    <definedName name="外部資料_3884" localSheetId="1">財報紅綠燈!#REF!</definedName>
    <definedName name="外部資料_3885" localSheetId="1">財報紅綠燈!#REF!</definedName>
    <definedName name="外部資料_3886" localSheetId="1">財報紅綠燈!#REF!</definedName>
    <definedName name="外部資料_3888" localSheetId="1">財報紅綠燈!#REF!</definedName>
    <definedName name="外部資料_3889" localSheetId="1">財報紅綠燈!#REF!</definedName>
    <definedName name="外部資料_389" localSheetId="8">PKA!#REF!</definedName>
    <definedName name="外部資料_389" localSheetId="9">PKB!#REF!</definedName>
    <definedName name="外部資料_389" localSheetId="10">PKC!#REF!</definedName>
    <definedName name="外部資料_3890" localSheetId="1">財報紅綠燈!#REF!</definedName>
    <definedName name="外部資料_3892" localSheetId="1">財報紅綠燈!#REF!</definedName>
    <definedName name="外部資料_3893" localSheetId="1">財報紅綠燈!#REF!</definedName>
    <definedName name="外部資料_3894" localSheetId="1">財報紅綠燈!#REF!</definedName>
    <definedName name="外部資料_3896" localSheetId="1">財報紅綠燈!#REF!</definedName>
    <definedName name="外部資料_3897" localSheetId="1">財報紅綠燈!#REF!</definedName>
    <definedName name="外部資料_3898" localSheetId="1">財報紅綠燈!#REF!</definedName>
    <definedName name="外部資料_39" localSheetId="8">PKA!#REF!</definedName>
    <definedName name="外部資料_39" localSheetId="9">PKB!#REF!</definedName>
    <definedName name="外部資料_39" localSheetId="10">PKC!#REF!</definedName>
    <definedName name="外部資料_39" localSheetId="5">評比系統!#REF!</definedName>
    <definedName name="外部資料_39" localSheetId="3">篩股系統!#REF!</definedName>
    <definedName name="外部資料_390" localSheetId="8">PKA!#REF!</definedName>
    <definedName name="外部資料_390" localSheetId="9">PKB!#REF!</definedName>
    <definedName name="外部資料_390" localSheetId="10">PKC!#REF!</definedName>
    <definedName name="外部資料_390" localSheetId="1">財報紅綠燈!#REF!</definedName>
    <definedName name="外部資料_3900" localSheetId="1">財報紅綠燈!#REF!</definedName>
    <definedName name="外部資料_3901" localSheetId="1">財報紅綠燈!#REF!</definedName>
    <definedName name="外部資料_3902" localSheetId="1">財報紅綠燈!#REF!</definedName>
    <definedName name="外部資料_3904" localSheetId="1">財報紅綠燈!#REF!</definedName>
    <definedName name="外部資料_3905" localSheetId="1">財報紅綠燈!#REF!</definedName>
    <definedName name="外部資料_3906" localSheetId="1">財報紅綠燈!#REF!</definedName>
    <definedName name="外部資料_3908" localSheetId="1">財報紅綠燈!#REF!</definedName>
    <definedName name="外部資料_3909" localSheetId="1">財報紅綠燈!#REF!</definedName>
    <definedName name="外部資料_391" localSheetId="8">PKA!#REF!</definedName>
    <definedName name="外部資料_391" localSheetId="9">PKB!#REF!</definedName>
    <definedName name="外部資料_391" localSheetId="10">PKC!#REF!</definedName>
    <definedName name="外部資料_391" localSheetId="1">財報紅綠燈!#REF!</definedName>
    <definedName name="外部資料_3910" localSheetId="1">財報紅綠燈!#REF!</definedName>
    <definedName name="外部資料_3912" localSheetId="1">財報紅綠燈!#REF!</definedName>
    <definedName name="外部資料_3913" localSheetId="1">財報紅綠燈!#REF!</definedName>
    <definedName name="外部資料_3914" localSheetId="1">財報紅綠燈!#REF!</definedName>
    <definedName name="外部資料_3916" localSheetId="1">財報紅綠燈!#REF!</definedName>
    <definedName name="外部資料_3917" localSheetId="1">財報紅綠燈!#REF!</definedName>
    <definedName name="外部資料_3918" localSheetId="1">財報紅綠燈!#REF!</definedName>
    <definedName name="外部資料_392" localSheetId="8">PKA!#REF!</definedName>
    <definedName name="外部資料_392" localSheetId="9">PKB!#REF!</definedName>
    <definedName name="外部資料_392" localSheetId="10">PKC!#REF!</definedName>
    <definedName name="外部資料_392" localSheetId="1">財報紅綠燈!#REF!</definedName>
    <definedName name="外部資料_3920" localSheetId="1">財報紅綠燈!#REF!</definedName>
    <definedName name="外部資料_3921" localSheetId="1">財報紅綠燈!#REF!</definedName>
    <definedName name="外部資料_3922" localSheetId="1">財報紅綠燈!#REF!</definedName>
    <definedName name="外部資料_3924" localSheetId="1">財報紅綠燈!#REF!</definedName>
    <definedName name="外部資料_3925" localSheetId="1">財報紅綠燈!#REF!</definedName>
    <definedName name="外部資料_3926" localSheetId="1">財報紅綠燈!#REF!</definedName>
    <definedName name="外部資料_3928" localSheetId="1">財報紅綠燈!#REF!</definedName>
    <definedName name="外部資料_3929" localSheetId="1">財報紅綠燈!#REF!</definedName>
    <definedName name="外部資料_393" localSheetId="8">PKA!#REF!</definedName>
    <definedName name="外部資料_393" localSheetId="9">PKB!#REF!</definedName>
    <definedName name="外部資料_393" localSheetId="10">PKC!#REF!</definedName>
    <definedName name="外部資料_3930" localSheetId="1">財報紅綠燈!#REF!</definedName>
    <definedName name="外部資料_3932" localSheetId="1">財報紅綠燈!#REF!</definedName>
    <definedName name="外部資料_3933" localSheetId="1">財報紅綠燈!#REF!</definedName>
    <definedName name="外部資料_3934" localSheetId="1">財報紅綠燈!#REF!</definedName>
    <definedName name="外部資料_3936" localSheetId="1">財報紅綠燈!#REF!</definedName>
    <definedName name="外部資料_3937" localSheetId="1">財報紅綠燈!#REF!</definedName>
    <definedName name="外部資料_3938" localSheetId="1">財報紅綠燈!#REF!</definedName>
    <definedName name="外部資料_394" localSheetId="8">PKA!#REF!</definedName>
    <definedName name="外部資料_394" localSheetId="9">PKB!#REF!</definedName>
    <definedName name="外部資料_394" localSheetId="10">PKC!#REF!</definedName>
    <definedName name="外部資料_394" localSheetId="1">財報紅綠燈!#REF!</definedName>
    <definedName name="外部資料_3940" localSheetId="1">財報紅綠燈!#REF!</definedName>
    <definedName name="外部資料_3941" localSheetId="1">財報紅綠燈!#REF!</definedName>
    <definedName name="外部資料_3942" localSheetId="1">財報紅綠燈!#REF!</definedName>
    <definedName name="外部資料_3944" localSheetId="1">財報紅綠燈!#REF!</definedName>
    <definedName name="外部資料_3945" localSheetId="1">財報紅綠燈!#REF!</definedName>
    <definedName name="外部資料_3946" localSheetId="1">財報紅綠燈!#REF!</definedName>
    <definedName name="外部資料_3948" localSheetId="1">財報紅綠燈!#REF!</definedName>
    <definedName name="外部資料_3949" localSheetId="1">財報紅綠燈!#REF!</definedName>
    <definedName name="外部資料_395" localSheetId="8">PKA!#REF!</definedName>
    <definedName name="外部資料_395" localSheetId="9">PKB!#REF!</definedName>
    <definedName name="外部資料_395" localSheetId="10">PKC!#REF!</definedName>
    <definedName name="外部資料_395" localSheetId="1">財報紅綠燈!#REF!</definedName>
    <definedName name="外部資料_3950" localSheetId="1">財報紅綠燈!#REF!</definedName>
    <definedName name="外部資料_3952" localSheetId="1">財報紅綠燈!#REF!</definedName>
    <definedName name="外部資料_3953" localSheetId="1">財報紅綠燈!#REF!</definedName>
    <definedName name="外部資料_3954" localSheetId="1">財報紅綠燈!#REF!</definedName>
    <definedName name="外部資料_3956" localSheetId="1">財報紅綠燈!#REF!</definedName>
    <definedName name="外部資料_3957" localSheetId="1">財報紅綠燈!#REF!</definedName>
    <definedName name="外部資料_3958" localSheetId="1">財報紅綠燈!#REF!</definedName>
    <definedName name="外部資料_396" localSheetId="8">PKA!#REF!</definedName>
    <definedName name="外部資料_396" localSheetId="9">PKB!#REF!</definedName>
    <definedName name="外部資料_396" localSheetId="10">PKC!#REF!</definedName>
    <definedName name="外部資料_396" localSheetId="1">財報紅綠燈!#REF!</definedName>
    <definedName name="外部資料_3960" localSheetId="1">財報紅綠燈!#REF!</definedName>
    <definedName name="外部資料_3961" localSheetId="1">財報紅綠燈!#REF!</definedName>
    <definedName name="外部資料_3962" localSheetId="1">財報紅綠燈!#REF!</definedName>
    <definedName name="外部資料_3964" localSheetId="1">財報紅綠燈!#REF!</definedName>
    <definedName name="外部資料_3965" localSheetId="1">財報紅綠燈!#REF!</definedName>
    <definedName name="外部資料_3966" localSheetId="1">財報紅綠燈!#REF!</definedName>
    <definedName name="外部資料_3968" localSheetId="1">財報紅綠燈!#REF!</definedName>
    <definedName name="外部資料_3969" localSheetId="1">財報紅綠燈!#REF!</definedName>
    <definedName name="外部資料_397" localSheetId="8">PKA!#REF!</definedName>
    <definedName name="外部資料_397" localSheetId="9">PKB!#REF!</definedName>
    <definedName name="外部資料_397" localSheetId="10">PKC!#REF!</definedName>
    <definedName name="外部資料_3970" localSheetId="1">財報紅綠燈!#REF!</definedName>
    <definedName name="外部資料_3972" localSheetId="1">財報紅綠燈!#REF!</definedName>
    <definedName name="外部資料_3973" localSheetId="1">財報紅綠燈!#REF!</definedName>
    <definedName name="外部資料_3974" localSheetId="1">財報紅綠燈!#REF!</definedName>
    <definedName name="外部資料_3976" localSheetId="1">財報紅綠燈!#REF!</definedName>
    <definedName name="外部資料_3977" localSheetId="1">財報紅綠燈!#REF!</definedName>
    <definedName name="外部資料_3978" localSheetId="1">財報紅綠燈!#REF!</definedName>
    <definedName name="外部資料_398" localSheetId="8">PKA!#REF!</definedName>
    <definedName name="外部資料_398" localSheetId="9">PKB!#REF!</definedName>
    <definedName name="外部資料_398" localSheetId="10">PKC!#REF!</definedName>
    <definedName name="外部資料_398" localSheetId="1">財報紅綠燈!#REF!</definedName>
    <definedName name="外部資料_3980" localSheetId="1">財報紅綠燈!#REF!</definedName>
    <definedName name="外部資料_3981" localSheetId="1">財報紅綠燈!#REF!</definedName>
    <definedName name="外部資料_3982" localSheetId="1">財報紅綠燈!#REF!</definedName>
    <definedName name="外部資料_3984" localSheetId="1">財報紅綠燈!#REF!</definedName>
    <definedName name="外部資料_3985" localSheetId="1">財報紅綠燈!#REF!</definedName>
    <definedName name="外部資料_3986" localSheetId="1">財報紅綠燈!#REF!</definedName>
    <definedName name="外部資料_3988" localSheetId="1">財報紅綠燈!#REF!</definedName>
    <definedName name="外部資料_3989" localSheetId="1">財報紅綠燈!#REF!</definedName>
    <definedName name="外部資料_399" localSheetId="8">PKA!#REF!</definedName>
    <definedName name="外部資料_399" localSheetId="9">PKB!#REF!</definedName>
    <definedName name="外部資料_399" localSheetId="10">PKC!#REF!</definedName>
    <definedName name="外部資料_399" localSheetId="1">財報紅綠燈!#REF!</definedName>
    <definedName name="外部資料_3990" localSheetId="1">財報紅綠燈!#REF!</definedName>
    <definedName name="外部資料_3992" localSheetId="1">財報紅綠燈!#REF!</definedName>
    <definedName name="外部資料_3993" localSheetId="1">財報紅綠燈!#REF!</definedName>
    <definedName name="外部資料_3994" localSheetId="1">財報紅綠燈!#REF!</definedName>
    <definedName name="外部資料_3996" localSheetId="1">財報紅綠燈!#REF!</definedName>
    <definedName name="外部資料_3997" localSheetId="1">財報紅綠燈!#REF!</definedName>
    <definedName name="外部資料_3998" localSheetId="1">財報紅綠燈!#REF!</definedName>
    <definedName name="外部資料_4" localSheetId="8">PKA!#REF!</definedName>
    <definedName name="外部資料_4" localSheetId="9">PKB!#REF!</definedName>
    <definedName name="外部資料_4" localSheetId="10">PKC!#REF!</definedName>
    <definedName name="外部資料_4" localSheetId="11">PRICE!#REF!</definedName>
    <definedName name="外部資料_4" localSheetId="1">財報紅綠燈!#REF!</definedName>
    <definedName name="外部資料_4" localSheetId="5">評比系統!#REF!</definedName>
    <definedName name="外部資料_4" localSheetId="3">篩股系統!#REF!</definedName>
    <definedName name="外部資料_40" localSheetId="8">PKA!#REF!</definedName>
    <definedName name="外部資料_40" localSheetId="9">PKB!#REF!</definedName>
    <definedName name="外部資料_40" localSheetId="10">PKC!#REF!</definedName>
    <definedName name="外部資料_40" localSheetId="1">財報紅綠燈!#REF!</definedName>
    <definedName name="外部資料_40" localSheetId="5">評比系統!#REF!</definedName>
    <definedName name="外部資料_400" localSheetId="8">PKA!#REF!</definedName>
    <definedName name="外部資料_400" localSheetId="9">PKB!#REF!</definedName>
    <definedName name="外部資料_400" localSheetId="10">PKC!#REF!</definedName>
    <definedName name="外部資料_400" localSheetId="1">財報紅綠燈!#REF!</definedName>
    <definedName name="外部資料_4000" localSheetId="1">財報紅綠燈!#REF!</definedName>
    <definedName name="外部資料_4001" localSheetId="1">財報紅綠燈!#REF!</definedName>
    <definedName name="外部資料_4003" localSheetId="1">財報紅綠燈!#REF!</definedName>
    <definedName name="外部資料_4004" localSheetId="1">財報紅綠燈!#REF!</definedName>
    <definedName name="外部資料_4005" localSheetId="1">財報紅綠燈!#REF!</definedName>
    <definedName name="外部資料_4007" localSheetId="1">財報紅綠燈!#REF!</definedName>
    <definedName name="外部資料_4008" localSheetId="1">財報紅綠燈!#REF!</definedName>
    <definedName name="外部資料_4009" localSheetId="1">財報紅綠燈!#REF!</definedName>
    <definedName name="外部資料_401" localSheetId="8">PKA!#REF!</definedName>
    <definedName name="外部資料_401" localSheetId="9">PKB!#REF!</definedName>
    <definedName name="外部資料_401" localSheetId="10">PKC!#REF!</definedName>
    <definedName name="外部資料_4011" localSheetId="1">財報紅綠燈!#REF!</definedName>
    <definedName name="外部資料_4012" localSheetId="1">財報紅綠燈!#REF!</definedName>
    <definedName name="外部資料_4013" localSheetId="1">財報紅綠燈!#REF!</definedName>
    <definedName name="外部資料_4015" localSheetId="1">財報紅綠燈!#REF!</definedName>
    <definedName name="外部資料_4016" localSheetId="1">財報紅綠燈!#REF!</definedName>
    <definedName name="外部資料_4017" localSheetId="1">財報紅綠燈!#REF!</definedName>
    <definedName name="外部資料_4019" localSheetId="1">財報紅綠燈!#REF!</definedName>
    <definedName name="外部資料_402" localSheetId="8">PKA!#REF!</definedName>
    <definedName name="外部資料_402" localSheetId="9">PKB!#REF!</definedName>
    <definedName name="外部資料_402" localSheetId="10">PKC!#REF!</definedName>
    <definedName name="外部資料_402" localSheetId="1">財報紅綠燈!#REF!</definedName>
    <definedName name="外部資料_4020" localSheetId="1">財報紅綠燈!#REF!</definedName>
    <definedName name="外部資料_4021" localSheetId="1">財報紅綠燈!#REF!</definedName>
    <definedName name="外部資料_4023" localSheetId="1">財報紅綠燈!#REF!</definedName>
    <definedName name="外部資料_4024" localSheetId="1">財報紅綠燈!#REF!</definedName>
    <definedName name="外部資料_4025" localSheetId="1">財報紅綠燈!#REF!</definedName>
    <definedName name="外部資料_4027" localSheetId="1">財報紅綠燈!#REF!</definedName>
    <definedName name="外部資料_4028" localSheetId="1">財報紅綠燈!#REF!</definedName>
    <definedName name="外部資料_4029" localSheetId="1">財報紅綠燈!#REF!</definedName>
    <definedName name="外部資料_403" localSheetId="8">PKA!#REF!</definedName>
    <definedName name="外部資料_403" localSheetId="9">PKB!#REF!</definedName>
    <definedName name="外部資料_403" localSheetId="10">PKC!#REF!</definedName>
    <definedName name="外部資料_403" localSheetId="1">財報紅綠燈!#REF!</definedName>
    <definedName name="外部資料_4031" localSheetId="1">財報紅綠燈!#REF!</definedName>
    <definedName name="外部資料_4032" localSheetId="1">財報紅綠燈!#REF!</definedName>
    <definedName name="外部資料_4033" localSheetId="1">財報紅綠燈!#REF!</definedName>
    <definedName name="外部資料_4035" localSheetId="1">財報紅綠燈!#REF!</definedName>
    <definedName name="外部資料_4036" localSheetId="1">財報紅綠燈!#REF!</definedName>
    <definedName name="外部資料_4037" localSheetId="1">財報紅綠燈!#REF!</definedName>
    <definedName name="外部資料_4039" localSheetId="1">財報紅綠燈!#REF!</definedName>
    <definedName name="外部資料_404" localSheetId="8">PKA!#REF!</definedName>
    <definedName name="外部資料_404" localSheetId="9">PKB!#REF!</definedName>
    <definedName name="外部資料_404" localSheetId="10">PKC!#REF!</definedName>
    <definedName name="外部資料_404" localSheetId="1">財報紅綠燈!#REF!</definedName>
    <definedName name="外部資料_4040" localSheetId="1">財報紅綠燈!#REF!</definedName>
    <definedName name="外部資料_4041" localSheetId="1">財報紅綠燈!#REF!</definedName>
    <definedName name="外部資料_4043" localSheetId="1">財報紅綠燈!#REF!</definedName>
    <definedName name="外部資料_4044" localSheetId="1">財報紅綠燈!#REF!</definedName>
    <definedName name="外部資料_4045" localSheetId="1">財報紅綠燈!#REF!</definedName>
    <definedName name="外部資料_4047" localSheetId="1">財報紅綠燈!#REF!</definedName>
    <definedName name="外部資料_4048" localSheetId="1">財報紅綠燈!#REF!</definedName>
    <definedName name="外部資料_4049" localSheetId="1">財報紅綠燈!#REF!</definedName>
    <definedName name="外部資料_405" localSheetId="8">PKA!#REF!</definedName>
    <definedName name="外部資料_405" localSheetId="9">PKB!#REF!</definedName>
    <definedName name="外部資料_405" localSheetId="10">PKC!#REF!</definedName>
    <definedName name="外部資料_4051" localSheetId="1">財報紅綠燈!#REF!</definedName>
    <definedName name="外部資料_4052" localSheetId="1">財報紅綠燈!#REF!</definedName>
    <definedName name="外部資料_4053" localSheetId="1">財報紅綠燈!#REF!</definedName>
    <definedName name="外部資料_4055" localSheetId="1">財報紅綠燈!#REF!</definedName>
    <definedName name="外部資料_4056" localSheetId="1">財報紅綠燈!#REF!</definedName>
    <definedName name="外部資料_4057" localSheetId="1">財報紅綠燈!#REF!</definedName>
    <definedName name="外部資料_4059" localSheetId="1">財報紅綠燈!#REF!</definedName>
    <definedName name="外部資料_406" localSheetId="8">PKA!#REF!</definedName>
    <definedName name="外部資料_406" localSheetId="9">PKB!#REF!</definedName>
    <definedName name="外部資料_406" localSheetId="10">PKC!#REF!</definedName>
    <definedName name="外部資料_406" localSheetId="1">財報紅綠燈!#REF!</definedName>
    <definedName name="外部資料_4060" localSheetId="1">財報紅綠燈!#REF!</definedName>
    <definedName name="外部資料_4061" localSheetId="1">財報紅綠燈!#REF!</definedName>
    <definedName name="外部資料_4063" localSheetId="1">財報紅綠燈!#REF!</definedName>
    <definedName name="外部資料_4064" localSheetId="1">財報紅綠燈!#REF!</definedName>
    <definedName name="外部資料_4065" localSheetId="1">財報紅綠燈!#REF!</definedName>
    <definedName name="外部資料_4067" localSheetId="1">財報紅綠燈!#REF!</definedName>
    <definedName name="外部資料_4068" localSheetId="1">財報紅綠燈!#REF!</definedName>
    <definedName name="外部資料_4069" localSheetId="1">財報紅綠燈!#REF!</definedName>
    <definedName name="外部資料_407" localSheetId="8">PKA!#REF!</definedName>
    <definedName name="外部資料_407" localSheetId="9">PKB!#REF!</definedName>
    <definedName name="外部資料_407" localSheetId="10">PKC!#REF!</definedName>
    <definedName name="外部資料_407" localSheetId="1">財報紅綠燈!#REF!</definedName>
    <definedName name="外部資料_4071" localSheetId="1">財報紅綠燈!#REF!</definedName>
    <definedName name="外部資料_4072" localSheetId="1">財報紅綠燈!#REF!</definedName>
    <definedName name="外部資料_4073" localSheetId="1">財報紅綠燈!#REF!</definedName>
    <definedName name="外部資料_4075" localSheetId="1">財報紅綠燈!#REF!</definedName>
    <definedName name="外部資料_4076" localSheetId="1">財報紅綠燈!#REF!</definedName>
    <definedName name="外部資料_4077" localSheetId="1">財報紅綠燈!#REF!</definedName>
    <definedName name="外部資料_4079" localSheetId="1">財報紅綠燈!#REF!</definedName>
    <definedName name="外部資料_408" localSheetId="8">PKA!#REF!</definedName>
    <definedName name="外部資料_408" localSheetId="9">PKB!#REF!</definedName>
    <definedName name="外部資料_408" localSheetId="10">PKC!#REF!</definedName>
    <definedName name="外部資料_408" localSheetId="1">財報紅綠燈!#REF!</definedName>
    <definedName name="外部資料_4080" localSheetId="1">財報紅綠燈!#REF!</definedName>
    <definedName name="外部資料_4081" localSheetId="1">財報紅綠燈!#REF!</definedName>
    <definedName name="外部資料_4083" localSheetId="1">財報紅綠燈!#REF!</definedName>
    <definedName name="外部資料_4084" localSheetId="1">財報紅綠燈!#REF!</definedName>
    <definedName name="外部資料_4085" localSheetId="1">財報紅綠燈!#REF!</definedName>
    <definedName name="外部資料_4087" localSheetId="1">財報紅綠燈!#REF!</definedName>
    <definedName name="外部資料_4088" localSheetId="1">財報紅綠燈!#REF!</definedName>
    <definedName name="外部資料_4089" localSheetId="1">財報紅綠燈!#REF!</definedName>
    <definedName name="外部資料_409" localSheetId="8">PKA!#REF!</definedName>
    <definedName name="外部資料_409" localSheetId="9">PKB!#REF!</definedName>
    <definedName name="外部資料_409" localSheetId="10">PKC!#REF!</definedName>
    <definedName name="外部資料_4091" localSheetId="1">財報紅綠燈!#REF!</definedName>
    <definedName name="外部資料_4092" localSheetId="1">財報紅綠燈!#REF!</definedName>
    <definedName name="外部資料_4093" localSheetId="1">財報紅綠燈!#REF!</definedName>
    <definedName name="外部資料_4095" localSheetId="1">財報紅綠燈!#REF!</definedName>
    <definedName name="外部資料_4096" localSheetId="1">財報紅綠燈!#REF!</definedName>
    <definedName name="外部資料_4097" localSheetId="1">財報紅綠燈!#REF!</definedName>
    <definedName name="外部資料_4099" localSheetId="1">財報紅綠燈!#REF!</definedName>
    <definedName name="外部資料_41" localSheetId="8">PKA!#REF!</definedName>
    <definedName name="外部資料_41" localSheetId="9">PKB!#REF!</definedName>
    <definedName name="外部資料_41" localSheetId="10">PKC!#REF!</definedName>
    <definedName name="外部資料_41" localSheetId="1">財報紅綠燈!#REF!</definedName>
    <definedName name="外部資料_41" localSheetId="5">評比系統!#REF!</definedName>
    <definedName name="外部資料_41" localSheetId="3">篩股系統!#REF!</definedName>
    <definedName name="外部資料_410" localSheetId="8">PKA!#REF!</definedName>
    <definedName name="外部資料_410" localSheetId="9">PKB!#REF!</definedName>
    <definedName name="外部資料_410" localSheetId="10">PKC!#REF!</definedName>
    <definedName name="外部資料_410" localSheetId="1">財報紅綠燈!#REF!</definedName>
    <definedName name="外部資料_4100" localSheetId="1">財報紅綠燈!#REF!</definedName>
    <definedName name="外部資料_4101" localSheetId="1">財報紅綠燈!#REF!</definedName>
    <definedName name="外部資料_4103" localSheetId="1">財報紅綠燈!#REF!</definedName>
    <definedName name="外部資料_4104" localSheetId="1">財報紅綠燈!#REF!</definedName>
    <definedName name="外部資料_4105" localSheetId="1">財報紅綠燈!#REF!</definedName>
    <definedName name="外部資料_4107" localSheetId="1">財報紅綠燈!#REF!</definedName>
    <definedName name="外部資料_4108" localSheetId="1">財報紅綠燈!#REF!</definedName>
    <definedName name="外部資料_4109" localSheetId="1">財報紅綠燈!#REF!</definedName>
    <definedName name="外部資料_411" localSheetId="8">PKA!#REF!</definedName>
    <definedName name="外部資料_411" localSheetId="9">PKB!#REF!</definedName>
    <definedName name="外部資料_411" localSheetId="10">PKC!#REF!</definedName>
    <definedName name="外部資料_411" localSheetId="1">財報紅綠燈!#REF!</definedName>
    <definedName name="外部資料_4111" localSheetId="1">財報紅綠燈!#REF!</definedName>
    <definedName name="外部資料_4112" localSheetId="1">財報紅綠燈!#REF!</definedName>
    <definedName name="外部資料_4114" localSheetId="1">財報紅綠燈!#REF!</definedName>
    <definedName name="外部資料_4115" localSheetId="1">財報紅綠燈!#REF!</definedName>
    <definedName name="外部資料_4117" localSheetId="1">財報紅綠燈!#REF!</definedName>
    <definedName name="外部資料_4118" localSheetId="1">財報紅綠燈!#REF!</definedName>
    <definedName name="外部資料_4119" localSheetId="1">財報紅綠燈!#REF!</definedName>
    <definedName name="外部資料_412" localSheetId="8">PKA!#REF!</definedName>
    <definedName name="外部資料_412" localSheetId="9">PKB!#REF!</definedName>
    <definedName name="外部資料_412" localSheetId="10">PKC!#REF!</definedName>
    <definedName name="外部資料_412" localSheetId="1">財報紅綠燈!#REF!</definedName>
    <definedName name="外部資料_4121" localSheetId="1">財報紅綠燈!#REF!</definedName>
    <definedName name="外部資料_4122" localSheetId="1">財報紅綠燈!#REF!</definedName>
    <definedName name="外部資料_4123" localSheetId="1">財報紅綠燈!#REF!</definedName>
    <definedName name="外部資料_4125" localSheetId="1">財報紅綠燈!#REF!</definedName>
    <definedName name="外部資料_4126" localSheetId="1">財報紅綠燈!#REF!</definedName>
    <definedName name="外部資料_4127" localSheetId="1">財報紅綠燈!#REF!</definedName>
    <definedName name="外部資料_4129" localSheetId="1">財報紅綠燈!#REF!</definedName>
    <definedName name="外部資料_413" localSheetId="8">PKA!#REF!</definedName>
    <definedName name="外部資料_413" localSheetId="9">PKB!#REF!</definedName>
    <definedName name="外部資料_413" localSheetId="10">PKC!#REF!</definedName>
    <definedName name="外部資料_4130" localSheetId="1">財報紅綠燈!#REF!</definedName>
    <definedName name="外部資料_4131" localSheetId="1">財報紅綠燈!#REF!</definedName>
    <definedName name="外部資料_4133" localSheetId="1">財報紅綠燈!#REF!</definedName>
    <definedName name="外部資料_4134" localSheetId="1">財報紅綠燈!#REF!</definedName>
    <definedName name="外部資料_4135" localSheetId="1">財報紅綠燈!#REF!</definedName>
    <definedName name="外部資料_4137" localSheetId="1">財報紅綠燈!#REF!</definedName>
    <definedName name="外部資料_4138" localSheetId="1">財報紅綠燈!#REF!</definedName>
    <definedName name="外部資料_4139" localSheetId="1">財報紅綠燈!#REF!</definedName>
    <definedName name="外部資料_414" localSheetId="8">PKA!#REF!</definedName>
    <definedName name="外部資料_414" localSheetId="9">PKB!#REF!</definedName>
    <definedName name="外部資料_414" localSheetId="10">PKC!#REF!</definedName>
    <definedName name="外部資料_414" localSheetId="1">財報紅綠燈!#REF!</definedName>
    <definedName name="外部資料_4141" localSheetId="1">財報紅綠燈!#REF!</definedName>
    <definedName name="外部資料_4142" localSheetId="1">財報紅綠燈!#REF!</definedName>
    <definedName name="外部資料_4143" localSheetId="1">財報紅綠燈!#REF!</definedName>
    <definedName name="外部資料_4145" localSheetId="1">財報紅綠燈!#REF!</definedName>
    <definedName name="外部資料_4146" localSheetId="1">財報紅綠燈!#REF!</definedName>
    <definedName name="外部資料_4147" localSheetId="1">財報紅綠燈!#REF!</definedName>
    <definedName name="外部資料_4149" localSheetId="1">財報紅綠燈!#REF!</definedName>
    <definedName name="外部資料_415" localSheetId="8">PKA!#REF!</definedName>
    <definedName name="外部資料_415" localSheetId="9">PKB!#REF!</definedName>
    <definedName name="外部資料_415" localSheetId="10">PKC!#REF!</definedName>
    <definedName name="外部資料_415" localSheetId="1">財報紅綠燈!#REF!</definedName>
    <definedName name="外部資料_4150" localSheetId="1">財報紅綠燈!#REF!</definedName>
    <definedName name="外部資料_4151" localSheetId="1">財報紅綠燈!#REF!</definedName>
    <definedName name="外部資料_4153" localSheetId="1">財報紅綠燈!#REF!</definedName>
    <definedName name="外部資料_4154" localSheetId="1">財報紅綠燈!#REF!</definedName>
    <definedName name="外部資料_4155" localSheetId="1">財報紅綠燈!#REF!</definedName>
    <definedName name="外部資料_4157" localSheetId="1">財報紅綠燈!#REF!</definedName>
    <definedName name="外部資料_4158" localSheetId="1">財報紅綠燈!#REF!</definedName>
    <definedName name="外部資料_4159" localSheetId="1">財報紅綠燈!#REF!</definedName>
    <definedName name="外部資料_416" localSheetId="8">PKA!#REF!</definedName>
    <definedName name="外部資料_416" localSheetId="9">PKB!#REF!</definedName>
    <definedName name="外部資料_416" localSheetId="10">PKC!#REF!</definedName>
    <definedName name="外部資料_416" localSheetId="1">財報紅綠燈!#REF!</definedName>
    <definedName name="外部資料_4161" localSheetId="1">財報紅綠燈!#REF!</definedName>
    <definedName name="外部資料_4162" localSheetId="1">財報紅綠燈!#REF!</definedName>
    <definedName name="外部資料_4163" localSheetId="1">財報紅綠燈!#REF!</definedName>
    <definedName name="外部資料_4165" localSheetId="1">財報紅綠燈!#REF!</definedName>
    <definedName name="外部資料_4166" localSheetId="1">財報紅綠燈!#REF!</definedName>
    <definedName name="外部資料_4167" localSheetId="1">財報紅綠燈!#REF!</definedName>
    <definedName name="外部資料_4169" localSheetId="1">財報紅綠燈!#REF!</definedName>
    <definedName name="外部資料_417" localSheetId="8">PKA!#REF!</definedName>
    <definedName name="外部資料_417" localSheetId="9">PKB!#REF!</definedName>
    <definedName name="外部資料_417" localSheetId="10">PKC!#REF!</definedName>
    <definedName name="外部資料_4170" localSheetId="1">財報紅綠燈!#REF!</definedName>
    <definedName name="外部資料_4171" localSheetId="1">財報紅綠燈!#REF!</definedName>
    <definedName name="外部資料_4173" localSheetId="1">財報紅綠燈!#REF!</definedName>
    <definedName name="外部資料_4174" localSheetId="1">財報紅綠燈!#REF!</definedName>
    <definedName name="外部資料_4175" localSheetId="1">財報紅綠燈!#REF!</definedName>
    <definedName name="外部資料_4177" localSheetId="1">財報紅綠燈!#REF!</definedName>
    <definedName name="外部資料_4178" localSheetId="1">財報紅綠燈!#REF!</definedName>
    <definedName name="外部資料_4179" localSheetId="1">財報紅綠燈!#REF!</definedName>
    <definedName name="外部資料_418" localSheetId="8">PKA!#REF!</definedName>
    <definedName name="外部資料_418" localSheetId="9">PKB!#REF!</definedName>
    <definedName name="外部資料_418" localSheetId="10">PKC!#REF!</definedName>
    <definedName name="外部資料_418" localSheetId="1">財報紅綠燈!#REF!</definedName>
    <definedName name="外部資料_4181" localSheetId="1">財報紅綠燈!#REF!</definedName>
    <definedName name="外部資料_4182" localSheetId="1">財報紅綠燈!#REF!</definedName>
    <definedName name="外部資料_4183" localSheetId="1">財報紅綠燈!#REF!</definedName>
    <definedName name="外部資料_4185" localSheetId="1">財報紅綠燈!#REF!</definedName>
    <definedName name="外部資料_4186" localSheetId="1">財報紅綠燈!#REF!</definedName>
    <definedName name="外部資料_4187" localSheetId="1">財報紅綠燈!#REF!</definedName>
    <definedName name="外部資料_4189" localSheetId="1">財報紅綠燈!#REF!</definedName>
    <definedName name="外部資料_419" localSheetId="8">PKA!#REF!</definedName>
    <definedName name="外部資料_419" localSheetId="9">PKB!#REF!</definedName>
    <definedName name="外部資料_419" localSheetId="10">PKC!#REF!</definedName>
    <definedName name="外部資料_419" localSheetId="1">財報紅綠燈!#REF!</definedName>
    <definedName name="外部資料_4190" localSheetId="1">財報紅綠燈!#REF!</definedName>
    <definedName name="外部資料_4191" localSheetId="1">財報紅綠燈!#REF!</definedName>
    <definedName name="外部資料_4193" localSheetId="1">財報紅綠燈!#REF!</definedName>
    <definedName name="外部資料_4194" localSheetId="1">財報紅綠燈!#REF!</definedName>
    <definedName name="外部資料_4195" localSheetId="1">財報紅綠燈!#REF!</definedName>
    <definedName name="外部資料_4197" localSheetId="1">財報紅綠燈!#REF!</definedName>
    <definedName name="外部資料_4198" localSheetId="1">財報紅綠燈!#REF!</definedName>
    <definedName name="外部資料_4199" localSheetId="1">財報紅綠燈!#REF!</definedName>
    <definedName name="外部資料_42" localSheetId="8">PKA!#REF!</definedName>
    <definedName name="外部資料_42" localSheetId="9">PKB!#REF!</definedName>
    <definedName name="外部資料_42" localSheetId="10">PKC!#REF!</definedName>
    <definedName name="外部資料_42" localSheetId="1">財報紅綠燈!#REF!</definedName>
    <definedName name="外部資料_42" localSheetId="5">評比系統!#REF!</definedName>
    <definedName name="外部資料_42" localSheetId="3">篩股系統!#REF!</definedName>
    <definedName name="外部資料_420" localSheetId="8">PKA!#REF!</definedName>
    <definedName name="外部資料_420" localSheetId="9">PKB!#REF!</definedName>
    <definedName name="外部資料_420" localSheetId="10">PKC!#REF!</definedName>
    <definedName name="外部資料_420" localSheetId="1">財報紅綠燈!#REF!</definedName>
    <definedName name="外部資料_4201" localSheetId="1">財報紅綠燈!#REF!</definedName>
    <definedName name="外部資料_4202" localSheetId="1">財報紅綠燈!#REF!</definedName>
    <definedName name="外部資料_4203" localSheetId="1">財報紅綠燈!#REF!</definedName>
    <definedName name="外部資料_4205" localSheetId="1">財報紅綠燈!#REF!</definedName>
    <definedName name="外部資料_4206" localSheetId="1">財報紅綠燈!#REF!</definedName>
    <definedName name="外部資料_4207" localSheetId="1">財報紅綠燈!#REF!</definedName>
    <definedName name="外部資料_4209" localSheetId="1">財報紅綠燈!#REF!</definedName>
    <definedName name="外部資料_421" localSheetId="8">PKA!#REF!</definedName>
    <definedName name="外部資料_421" localSheetId="9">PKB!#REF!</definedName>
    <definedName name="外部資料_421" localSheetId="10">PKC!#REF!</definedName>
    <definedName name="外部資料_4210" localSheetId="1">財報紅綠燈!#REF!</definedName>
    <definedName name="外部資料_4211" localSheetId="1">財報紅綠燈!#REF!</definedName>
    <definedName name="外部資料_4213" localSheetId="1">財報紅綠燈!#REF!</definedName>
    <definedName name="外部資料_4214" localSheetId="1">財報紅綠燈!#REF!</definedName>
    <definedName name="外部資料_4215" localSheetId="1">財報紅綠燈!#REF!</definedName>
    <definedName name="外部資料_4217" localSheetId="1">財報紅綠燈!#REF!</definedName>
    <definedName name="外部資料_4218" localSheetId="1">財報紅綠燈!#REF!</definedName>
    <definedName name="外部資料_4219" localSheetId="1">財報紅綠燈!#REF!</definedName>
    <definedName name="外部資料_422" localSheetId="8">PKA!#REF!</definedName>
    <definedName name="外部資料_422" localSheetId="9">PKB!#REF!</definedName>
    <definedName name="外部資料_422" localSheetId="10">PKC!#REF!</definedName>
    <definedName name="外部資料_422" localSheetId="1">財報紅綠燈!#REF!</definedName>
    <definedName name="外部資料_4221" localSheetId="1">財報紅綠燈!#REF!</definedName>
    <definedName name="外部資料_4222" localSheetId="1">財報紅綠燈!#REF!</definedName>
    <definedName name="外部資料_4223" localSheetId="1">財報紅綠燈!#REF!</definedName>
    <definedName name="外部資料_4225" localSheetId="1">財報紅綠燈!#REF!</definedName>
    <definedName name="外部資料_4226" localSheetId="1">財報紅綠燈!#REF!</definedName>
    <definedName name="外部資料_4227" localSheetId="1">財報紅綠燈!#REF!</definedName>
    <definedName name="外部資料_4229" localSheetId="1">財報紅綠燈!#REF!</definedName>
    <definedName name="外部資料_423" localSheetId="8">PKA!#REF!</definedName>
    <definedName name="外部資料_423" localSheetId="9">PKB!#REF!</definedName>
    <definedName name="外部資料_423" localSheetId="10">PKC!#REF!</definedName>
    <definedName name="外部資料_423" localSheetId="1">財報紅綠燈!#REF!</definedName>
    <definedName name="外部資料_4230" localSheetId="1">財報紅綠燈!#REF!</definedName>
    <definedName name="外部資料_4231" localSheetId="1">財報紅綠燈!#REF!</definedName>
    <definedName name="外部資料_4233" localSheetId="1">財報紅綠燈!#REF!</definedName>
    <definedName name="外部資料_4234" localSheetId="1">財報紅綠燈!#REF!</definedName>
    <definedName name="外部資料_4235" localSheetId="1">財報紅綠燈!#REF!</definedName>
    <definedName name="外部資料_4237" localSheetId="1">財報紅綠燈!#REF!</definedName>
    <definedName name="外部資料_4238" localSheetId="1">財報紅綠燈!#REF!</definedName>
    <definedName name="外部資料_4239" localSheetId="1">財報紅綠燈!#REF!</definedName>
    <definedName name="外部資料_424" localSheetId="8">PKA!#REF!</definedName>
    <definedName name="外部資料_424" localSheetId="9">PKB!#REF!</definedName>
    <definedName name="外部資料_424" localSheetId="10">PKC!#REF!</definedName>
    <definedName name="外部資料_424" localSheetId="1">財報紅綠燈!#REF!</definedName>
    <definedName name="外部資料_4241" localSheetId="1">財報紅綠燈!#REF!</definedName>
    <definedName name="外部資料_4242" localSheetId="1">財報紅綠燈!#REF!</definedName>
    <definedName name="外部資料_4243" localSheetId="1">財報紅綠燈!#REF!</definedName>
    <definedName name="外部資料_4245" localSheetId="1">財報紅綠燈!#REF!</definedName>
    <definedName name="外部資料_4246" localSheetId="1">財報紅綠燈!#REF!</definedName>
    <definedName name="外部資料_4247" localSheetId="1">財報紅綠燈!#REF!</definedName>
    <definedName name="外部資料_4249" localSheetId="1">財報紅綠燈!#REF!</definedName>
    <definedName name="外部資料_425" localSheetId="8">PKA!#REF!</definedName>
    <definedName name="外部資料_425" localSheetId="9">PKB!#REF!</definedName>
    <definedName name="外部資料_425" localSheetId="10">PKC!#REF!</definedName>
    <definedName name="外部資料_4250" localSheetId="1">財報紅綠燈!#REF!</definedName>
    <definedName name="外部資料_4251" localSheetId="1">財報紅綠燈!#REF!</definedName>
    <definedName name="外部資料_4253" localSheetId="1">財報紅綠燈!#REF!</definedName>
    <definedName name="外部資料_4254" localSheetId="1">財報紅綠燈!#REF!</definedName>
    <definedName name="外部資料_4255" localSheetId="1">財報紅綠燈!#REF!</definedName>
    <definedName name="外部資料_4257" localSheetId="1">財報紅綠燈!#REF!</definedName>
    <definedName name="外部資料_4258" localSheetId="1">財報紅綠燈!#REF!</definedName>
    <definedName name="外部資料_4259" localSheetId="1">財報紅綠燈!#REF!</definedName>
    <definedName name="外部資料_426" localSheetId="8">PKA!#REF!</definedName>
    <definedName name="外部資料_426" localSheetId="9">PKB!#REF!</definedName>
    <definedName name="外部資料_426" localSheetId="10">PKC!#REF!</definedName>
    <definedName name="外部資料_426" localSheetId="1">財報紅綠燈!#REF!</definedName>
    <definedName name="外部資料_4261" localSheetId="1">財報紅綠燈!#REF!</definedName>
    <definedName name="外部資料_4262" localSheetId="1">財報紅綠燈!#REF!</definedName>
    <definedName name="外部資料_4263" localSheetId="1">財報紅綠燈!#REF!</definedName>
    <definedName name="外部資料_4265" localSheetId="1">財報紅綠燈!#REF!</definedName>
    <definedName name="外部資料_4266" localSheetId="1">財報紅綠燈!#REF!</definedName>
    <definedName name="外部資料_4267" localSheetId="1">財報紅綠燈!#REF!</definedName>
    <definedName name="外部資料_4269" localSheetId="1">財報紅綠燈!#REF!</definedName>
    <definedName name="外部資料_427" localSheetId="8">PKA!#REF!</definedName>
    <definedName name="外部資料_427" localSheetId="9">PKB!#REF!</definedName>
    <definedName name="外部資料_427" localSheetId="10">PKC!#REF!</definedName>
    <definedName name="外部資料_427" localSheetId="1">財報紅綠燈!#REF!</definedName>
    <definedName name="外部資料_4270" localSheetId="1">財報紅綠燈!#REF!</definedName>
    <definedName name="外部資料_4271" localSheetId="1">財報紅綠燈!#REF!</definedName>
    <definedName name="外部資料_4273" localSheetId="1">財報紅綠燈!#REF!</definedName>
    <definedName name="外部資料_4274" localSheetId="1">財報紅綠燈!#REF!</definedName>
    <definedName name="外部資料_4275" localSheetId="1">財報紅綠燈!#REF!</definedName>
    <definedName name="外部資料_4277" localSheetId="1">財報紅綠燈!#REF!</definedName>
    <definedName name="外部資料_4278" localSheetId="1">財報紅綠燈!#REF!</definedName>
    <definedName name="外部資料_4279" localSheetId="1">財報紅綠燈!#REF!</definedName>
    <definedName name="外部資料_428" localSheetId="8">PKA!#REF!</definedName>
    <definedName name="外部資料_428" localSheetId="9">PKB!#REF!</definedName>
    <definedName name="外部資料_428" localSheetId="10">PKC!#REF!</definedName>
    <definedName name="外部資料_428" localSheetId="1">財報紅綠燈!#REF!</definedName>
    <definedName name="外部資料_4281" localSheetId="1">財報紅綠燈!#REF!</definedName>
    <definedName name="外部資料_4282" localSheetId="1">財報紅綠燈!#REF!</definedName>
    <definedName name="外部資料_4283" localSheetId="1">財報紅綠燈!#REF!</definedName>
    <definedName name="外部資料_4285" localSheetId="1">財報紅綠燈!#REF!</definedName>
    <definedName name="外部資料_4286" localSheetId="1">財報紅綠燈!#REF!</definedName>
    <definedName name="外部資料_4287" localSheetId="1">財報紅綠燈!#REF!</definedName>
    <definedName name="外部資料_4289" localSheetId="1">財報紅綠燈!#REF!</definedName>
    <definedName name="外部資料_429" localSheetId="8">PKA!#REF!</definedName>
    <definedName name="外部資料_429" localSheetId="9">PKB!#REF!</definedName>
    <definedName name="外部資料_429" localSheetId="10">PKC!#REF!</definedName>
    <definedName name="外部資料_4290" localSheetId="1">財報紅綠燈!#REF!</definedName>
    <definedName name="外部資料_4291" localSheetId="1">財報紅綠燈!#REF!</definedName>
    <definedName name="外部資料_4293" localSheetId="1">財報紅綠燈!#REF!</definedName>
    <definedName name="外部資料_4294" localSheetId="1">財報紅綠燈!#REF!</definedName>
    <definedName name="外部資料_4296" localSheetId="1">財報紅綠燈!#REF!</definedName>
    <definedName name="外部資料_4297" localSheetId="1">財報紅綠燈!#REF!</definedName>
    <definedName name="外部資料_4298" localSheetId="1">財報紅綠燈!#REF!</definedName>
    <definedName name="外部資料_43" localSheetId="8">PKA!#REF!</definedName>
    <definedName name="外部資料_43" localSheetId="9">PKB!#REF!</definedName>
    <definedName name="外部資料_43" localSheetId="10">PKC!#REF!</definedName>
    <definedName name="外部資料_43" localSheetId="5">評比系統!#REF!</definedName>
    <definedName name="外部資料_430" localSheetId="8">PKA!#REF!</definedName>
    <definedName name="外部資料_430" localSheetId="9">PKB!#REF!</definedName>
    <definedName name="外部資料_430" localSheetId="10">PKC!#REF!</definedName>
    <definedName name="外部資料_430" localSheetId="1">財報紅綠燈!#REF!</definedName>
    <definedName name="外部資料_4300" localSheetId="1">財報紅綠燈!#REF!</definedName>
    <definedName name="外部資料_4301" localSheetId="1">財報紅綠燈!#REF!</definedName>
    <definedName name="外部資料_4302" localSheetId="1">財報紅綠燈!#REF!</definedName>
    <definedName name="外部資料_4304" localSheetId="1">財報紅綠燈!#REF!</definedName>
    <definedName name="外部資料_4305" localSheetId="1">財報紅綠燈!#REF!</definedName>
    <definedName name="外部資料_4306" localSheetId="1">財報紅綠燈!#REF!</definedName>
    <definedName name="外部資料_4308" localSheetId="1">財報紅綠燈!#REF!</definedName>
    <definedName name="外部資料_4309" localSheetId="1">財報紅綠燈!#REF!</definedName>
    <definedName name="外部資料_431" localSheetId="8">PKA!#REF!</definedName>
    <definedName name="外部資料_431" localSheetId="9">PKB!#REF!</definedName>
    <definedName name="外部資料_431" localSheetId="10">PKC!#REF!</definedName>
    <definedName name="外部資料_431" localSheetId="1">財報紅綠燈!#REF!</definedName>
    <definedName name="外部資料_4310" localSheetId="1">財報紅綠燈!#REF!</definedName>
    <definedName name="外部資料_4312" localSheetId="1">財報紅綠燈!#REF!</definedName>
    <definedName name="外部資料_4313" localSheetId="1">財報紅綠燈!#REF!</definedName>
    <definedName name="外部資料_4314" localSheetId="1">財報紅綠燈!#REF!</definedName>
    <definedName name="外部資料_4316" localSheetId="1">財報紅綠燈!#REF!</definedName>
    <definedName name="外部資料_4317" localSheetId="1">財報紅綠燈!#REF!</definedName>
    <definedName name="外部資料_4318" localSheetId="1">財報紅綠燈!#REF!</definedName>
    <definedName name="外部資料_432" localSheetId="8">PKA!#REF!</definedName>
    <definedName name="外部資料_432" localSheetId="9">PKB!#REF!</definedName>
    <definedName name="外部資料_432" localSheetId="10">PKC!#REF!</definedName>
    <definedName name="外部資料_432" localSheetId="1">財報紅綠燈!#REF!</definedName>
    <definedName name="外部資料_4320" localSheetId="1">財報紅綠燈!#REF!</definedName>
    <definedName name="外部資料_4321" localSheetId="1">財報紅綠燈!#REF!</definedName>
    <definedName name="外部資料_4322" localSheetId="1">財報紅綠燈!#REF!</definedName>
    <definedName name="外部資料_4324" localSheetId="1">財報紅綠燈!#REF!</definedName>
    <definedName name="外部資料_4325" localSheetId="1">財報紅綠燈!#REF!</definedName>
    <definedName name="外部資料_4326" localSheetId="1">財報紅綠燈!#REF!</definedName>
    <definedName name="外部資料_4328" localSheetId="1">財報紅綠燈!#REF!</definedName>
    <definedName name="外部資料_4329" localSheetId="1">財報紅綠燈!#REF!</definedName>
    <definedName name="外部資料_433" localSheetId="8">PKA!#REF!</definedName>
    <definedName name="外部資料_433" localSheetId="9">PKB!#REF!</definedName>
    <definedName name="外部資料_433" localSheetId="10">PKC!#REF!</definedName>
    <definedName name="外部資料_4330" localSheetId="1">財報紅綠燈!#REF!</definedName>
    <definedName name="外部資料_4332" localSheetId="1">財報紅綠燈!#REF!</definedName>
    <definedName name="外部資料_4333" localSheetId="1">財報紅綠燈!#REF!</definedName>
    <definedName name="外部資料_4334" localSheetId="1">財報紅綠燈!#REF!</definedName>
    <definedName name="外部資料_4336" localSheetId="1">財報紅綠燈!#REF!</definedName>
    <definedName name="外部資料_4337" localSheetId="1">財報紅綠燈!#REF!</definedName>
    <definedName name="外部資料_4338" localSheetId="1">財報紅綠燈!#REF!</definedName>
    <definedName name="外部資料_434" localSheetId="8">PKA!#REF!</definedName>
    <definedName name="外部資料_434" localSheetId="9">PKB!#REF!</definedName>
    <definedName name="外部資料_434" localSheetId="10">PKC!#REF!</definedName>
    <definedName name="外部資料_434" localSheetId="1">財報紅綠燈!#REF!</definedName>
    <definedName name="外部資料_4340" localSheetId="1">財報紅綠燈!#REF!</definedName>
    <definedName name="外部資料_4341" localSheetId="1">財報紅綠燈!#REF!</definedName>
    <definedName name="外部資料_4342" localSheetId="1">財報紅綠燈!#REF!</definedName>
    <definedName name="外部資料_4344" localSheetId="1">財報紅綠燈!#REF!</definedName>
    <definedName name="外部資料_4345" localSheetId="1">財報紅綠燈!#REF!</definedName>
    <definedName name="外部資料_4346" localSheetId="1">財報紅綠燈!#REF!</definedName>
    <definedName name="外部資料_4348" localSheetId="1">財報紅綠燈!#REF!</definedName>
    <definedName name="外部資料_4349" localSheetId="1">財報紅綠燈!#REF!</definedName>
    <definedName name="外部資料_435" localSheetId="8">PKA!#REF!</definedName>
    <definedName name="外部資料_435" localSheetId="9">PKB!#REF!</definedName>
    <definedName name="外部資料_435" localSheetId="10">PKC!#REF!</definedName>
    <definedName name="外部資料_435" localSheetId="1">財報紅綠燈!#REF!</definedName>
    <definedName name="外部資料_4350" localSheetId="1">財報紅綠燈!#REF!</definedName>
    <definedName name="外部資料_4352" localSheetId="1">財報紅綠燈!#REF!</definedName>
    <definedName name="外部資料_4353" localSheetId="1">財報紅綠燈!#REF!</definedName>
    <definedName name="外部資料_4354" localSheetId="1">財報紅綠燈!#REF!</definedName>
    <definedName name="外部資料_4356" localSheetId="1">財報紅綠燈!#REF!</definedName>
    <definedName name="外部資料_4357" localSheetId="1">財報紅綠燈!#REF!</definedName>
    <definedName name="外部資料_4358" localSheetId="1">財報紅綠燈!#REF!</definedName>
    <definedName name="外部資料_436" localSheetId="8">PKA!#REF!</definedName>
    <definedName name="外部資料_436" localSheetId="9">PKB!#REF!</definedName>
    <definedName name="外部資料_436" localSheetId="10">PKC!#REF!</definedName>
    <definedName name="外部資料_436" localSheetId="1">財報紅綠燈!#REF!</definedName>
    <definedName name="外部資料_4360" localSheetId="1">財報紅綠燈!#REF!</definedName>
    <definedName name="外部資料_4361" localSheetId="1">財報紅綠燈!#REF!</definedName>
    <definedName name="外部資料_4362" localSheetId="1">財報紅綠燈!#REF!</definedName>
    <definedName name="外部資料_4364" localSheetId="1">財報紅綠燈!#REF!</definedName>
    <definedName name="外部資料_4365" localSheetId="1">財報紅綠燈!#REF!</definedName>
    <definedName name="外部資料_4366" localSheetId="1">財報紅綠燈!#REF!</definedName>
    <definedName name="外部資料_4368" localSheetId="1">財報紅綠燈!#REF!</definedName>
    <definedName name="外部資料_4369" localSheetId="1">財報紅綠燈!#REF!</definedName>
    <definedName name="外部資料_437" localSheetId="8">PKA!#REF!</definedName>
    <definedName name="外部資料_437" localSheetId="9">PKB!#REF!</definedName>
    <definedName name="外部資料_437" localSheetId="10">PKC!#REF!</definedName>
    <definedName name="外部資料_4370" localSheetId="1">財報紅綠燈!#REF!</definedName>
    <definedName name="外部資料_4372" localSheetId="1">財報紅綠燈!#REF!</definedName>
    <definedName name="外部資料_4373" localSheetId="1">財報紅綠燈!#REF!</definedName>
    <definedName name="外部資料_4374" localSheetId="1">財報紅綠燈!#REF!</definedName>
    <definedName name="外部資料_4376" localSheetId="1">財報紅綠燈!#REF!</definedName>
    <definedName name="外部資料_4377" localSheetId="1">財報紅綠燈!#REF!</definedName>
    <definedName name="外部資料_4378" localSheetId="1">財報紅綠燈!#REF!</definedName>
    <definedName name="外部資料_438" localSheetId="8">PKA!#REF!</definedName>
    <definedName name="外部資料_438" localSheetId="9">PKB!#REF!</definedName>
    <definedName name="外部資料_438" localSheetId="10">PKC!#REF!</definedName>
    <definedName name="外部資料_438" localSheetId="1">財報紅綠燈!#REF!</definedName>
    <definedName name="外部資料_4380" localSheetId="1">財報紅綠燈!#REF!</definedName>
    <definedName name="外部資料_4381" localSheetId="1">財報紅綠燈!#REF!</definedName>
    <definedName name="外部資料_4382" localSheetId="1">財報紅綠燈!#REF!</definedName>
    <definedName name="外部資料_4384" localSheetId="1">財報紅綠燈!#REF!</definedName>
    <definedName name="外部資料_4385" localSheetId="1">財報紅綠燈!#REF!</definedName>
    <definedName name="外部資料_4386" localSheetId="1">財報紅綠燈!#REF!</definedName>
    <definedName name="外部資料_4388" localSheetId="1">財報紅綠燈!#REF!</definedName>
    <definedName name="外部資料_4389" localSheetId="1">財報紅綠燈!#REF!</definedName>
    <definedName name="外部資料_439" localSheetId="8">PKA!#REF!</definedName>
    <definedName name="外部資料_439" localSheetId="9">PKB!#REF!</definedName>
    <definedName name="外部資料_439" localSheetId="10">PKC!#REF!</definedName>
    <definedName name="外部資料_439" localSheetId="1">財報紅綠燈!#REF!</definedName>
    <definedName name="外部資料_4390" localSheetId="1">財報紅綠燈!#REF!</definedName>
    <definedName name="外部資料_4392" localSheetId="1">財報紅綠燈!#REF!</definedName>
    <definedName name="外部資料_4393" localSheetId="1">財報紅綠燈!#REF!</definedName>
    <definedName name="外部資料_4394" localSheetId="1">財報紅綠燈!#REF!</definedName>
    <definedName name="外部資料_4396" localSheetId="1">財報紅綠燈!#REF!</definedName>
    <definedName name="外部資料_4397" localSheetId="1">財報紅綠燈!#REF!</definedName>
    <definedName name="外部資料_4398" localSheetId="1">財報紅綠燈!#REF!</definedName>
    <definedName name="外部資料_44" localSheetId="8">PKA!#REF!</definedName>
    <definedName name="外部資料_44" localSheetId="9">PKB!#REF!</definedName>
    <definedName name="外部資料_44" localSheetId="10">PKC!#REF!</definedName>
    <definedName name="外部資料_44" localSheetId="1">財報紅綠燈!#REF!</definedName>
    <definedName name="外部資料_440" localSheetId="8">PKA!#REF!</definedName>
    <definedName name="外部資料_440" localSheetId="9">PKB!#REF!</definedName>
    <definedName name="外部資料_440" localSheetId="10">PKC!#REF!</definedName>
    <definedName name="外部資料_440" localSheetId="1">財報紅綠燈!#REF!</definedName>
    <definedName name="外部資料_4400" localSheetId="1">財報紅綠燈!#REF!</definedName>
    <definedName name="外部資料_4401" localSheetId="1">財報紅綠燈!#REF!</definedName>
    <definedName name="外部資料_4402" localSheetId="1">財報紅綠燈!#REF!</definedName>
    <definedName name="外部資料_4404" localSheetId="1">財報紅綠燈!#REF!</definedName>
    <definedName name="外部資料_4405" localSheetId="1">財報紅綠燈!#REF!</definedName>
    <definedName name="外部資料_4406" localSheetId="1">財報紅綠燈!#REF!</definedName>
    <definedName name="外部資料_4408" localSheetId="1">財報紅綠燈!#REF!</definedName>
    <definedName name="外部資料_4409" localSheetId="1">財報紅綠燈!#REF!</definedName>
    <definedName name="外部資料_441" localSheetId="8">PKA!#REF!</definedName>
    <definedName name="外部資料_441" localSheetId="9">PKB!#REF!</definedName>
    <definedName name="外部資料_441" localSheetId="10">PKC!#REF!</definedName>
    <definedName name="外部資料_4410" localSheetId="1">財報紅綠燈!#REF!</definedName>
    <definedName name="外部資料_4412" localSheetId="1">財報紅綠燈!#REF!</definedName>
    <definedName name="外部資料_4413" localSheetId="1">財報紅綠燈!#REF!</definedName>
    <definedName name="外部資料_4414" localSheetId="1">財報紅綠燈!#REF!</definedName>
    <definedName name="外部資料_4416" localSheetId="1">財報紅綠燈!#REF!</definedName>
    <definedName name="外部資料_4417" localSheetId="1">財報紅綠燈!#REF!</definedName>
    <definedName name="外部資料_4418" localSheetId="1">財報紅綠燈!#REF!</definedName>
    <definedName name="外部資料_442" localSheetId="8">PKA!#REF!</definedName>
    <definedName name="外部資料_442" localSheetId="9">PKB!#REF!</definedName>
    <definedName name="外部資料_442" localSheetId="10">PKC!#REF!</definedName>
    <definedName name="外部資料_442" localSheetId="1">財報紅綠燈!#REF!</definedName>
    <definedName name="外部資料_4420" localSheetId="1">財報紅綠燈!#REF!</definedName>
    <definedName name="外部資料_4421" localSheetId="1">財報紅綠燈!#REF!</definedName>
    <definedName name="外部資料_4422" localSheetId="1">財報紅綠燈!#REF!</definedName>
    <definedName name="外部資料_4424" localSheetId="1">財報紅綠燈!#REF!</definedName>
    <definedName name="外部資料_4425" localSheetId="1">財報紅綠燈!#REF!</definedName>
    <definedName name="外部資料_4426" localSheetId="1">財報紅綠燈!#REF!</definedName>
    <definedName name="外部資料_4428" localSheetId="1">財報紅綠燈!#REF!</definedName>
    <definedName name="外部資料_4429" localSheetId="1">財報紅綠燈!#REF!</definedName>
    <definedName name="外部資料_443" localSheetId="8">PKA!#REF!</definedName>
    <definedName name="外部資料_443" localSheetId="9">PKB!#REF!</definedName>
    <definedName name="外部資料_443" localSheetId="10">PKC!#REF!</definedName>
    <definedName name="外部資料_443" localSheetId="1">財報紅綠燈!#REF!</definedName>
    <definedName name="外部資料_4430" localSheetId="1">財報紅綠燈!#REF!</definedName>
    <definedName name="外部資料_4432" localSheetId="1">財報紅綠燈!#REF!</definedName>
    <definedName name="外部資料_4433" localSheetId="1">財報紅綠燈!#REF!</definedName>
    <definedName name="外部資料_4435" localSheetId="1">財報紅綠燈!#REF!</definedName>
    <definedName name="外部資料_4436" localSheetId="1">財報紅綠燈!#REF!</definedName>
    <definedName name="外部資料_4437" localSheetId="1">財報紅綠燈!#REF!</definedName>
    <definedName name="外部資料_4439" localSheetId="1">財報紅綠燈!#REF!</definedName>
    <definedName name="外部資料_444" localSheetId="8">PKA!#REF!</definedName>
    <definedName name="外部資料_444" localSheetId="9">PKB!#REF!</definedName>
    <definedName name="外部資料_444" localSheetId="10">PKC!#REF!</definedName>
    <definedName name="外部資料_444" localSheetId="1">財報紅綠燈!#REF!</definedName>
    <definedName name="外部資料_4440" localSheetId="1">財報紅綠燈!#REF!</definedName>
    <definedName name="外部資料_4441" localSheetId="1">財報紅綠燈!#REF!</definedName>
    <definedName name="外部資料_4443" localSheetId="1">財報紅綠燈!#REF!</definedName>
    <definedName name="外部資料_4444" localSheetId="1">財報紅綠燈!#REF!</definedName>
    <definedName name="外部資料_4445" localSheetId="1">財報紅綠燈!#REF!</definedName>
    <definedName name="外部資料_4447" localSheetId="1">財報紅綠燈!#REF!</definedName>
    <definedName name="外部資料_4448" localSheetId="1">財報紅綠燈!#REF!</definedName>
    <definedName name="外部資料_4449" localSheetId="1">財報紅綠燈!#REF!</definedName>
    <definedName name="外部資料_445" localSheetId="8">PKA!#REF!</definedName>
    <definedName name="外部資料_445" localSheetId="9">PKB!#REF!</definedName>
    <definedName name="外部資料_445" localSheetId="10">PKC!#REF!</definedName>
    <definedName name="外部資料_4451" localSheetId="1">財報紅綠燈!#REF!</definedName>
    <definedName name="外部資料_4452" localSheetId="1">財報紅綠燈!#REF!</definedName>
    <definedName name="外部資料_4453" localSheetId="1">財報紅綠燈!#REF!</definedName>
    <definedName name="外部資料_4455" localSheetId="1">財報紅綠燈!#REF!</definedName>
    <definedName name="外部資料_4456" localSheetId="1">財報紅綠燈!#REF!</definedName>
    <definedName name="外部資料_4457" localSheetId="1">財報紅綠燈!#REF!</definedName>
    <definedName name="外部資料_4459" localSheetId="1">財報紅綠燈!#REF!</definedName>
    <definedName name="外部資料_446" localSheetId="8">PKA!#REF!</definedName>
    <definedName name="外部資料_446" localSheetId="9">PKB!#REF!</definedName>
    <definedName name="外部資料_446" localSheetId="10">PKC!#REF!</definedName>
    <definedName name="外部資料_446" localSheetId="1">財報紅綠燈!#REF!</definedName>
    <definedName name="外部資料_4460" localSheetId="1">財報紅綠燈!#REF!</definedName>
    <definedName name="外部資料_4461" localSheetId="1">財報紅綠燈!#REF!</definedName>
    <definedName name="外部資料_4463" localSheetId="1">財報紅綠燈!#REF!</definedName>
    <definedName name="外部資料_4464" localSheetId="1">財報紅綠燈!#REF!</definedName>
    <definedName name="外部資料_4465" localSheetId="1">財報紅綠燈!#REF!</definedName>
    <definedName name="外部資料_4467" localSheetId="1">財報紅綠燈!#REF!</definedName>
    <definedName name="外部資料_4468" localSheetId="1">財報紅綠燈!#REF!</definedName>
    <definedName name="外部資料_4469" localSheetId="1">財報紅綠燈!#REF!</definedName>
    <definedName name="外部資料_447" localSheetId="8">PKA!#REF!</definedName>
    <definedName name="外部資料_447" localSheetId="9">PKB!#REF!</definedName>
    <definedName name="外部資料_447" localSheetId="10">PKC!#REF!</definedName>
    <definedName name="外部資料_447" localSheetId="1">財報紅綠燈!#REF!</definedName>
    <definedName name="外部資料_4471" localSheetId="1">財報紅綠燈!#REF!</definedName>
    <definedName name="外部資料_4472" localSheetId="1">財報紅綠燈!#REF!</definedName>
    <definedName name="外部資料_4473" localSheetId="1">財報紅綠燈!#REF!</definedName>
    <definedName name="外部資料_4475" localSheetId="1">財報紅綠燈!#REF!</definedName>
    <definedName name="外部資料_4476" localSheetId="1">財報紅綠燈!#REF!</definedName>
    <definedName name="外部資料_4478" localSheetId="1">財報紅綠燈!#REF!</definedName>
    <definedName name="外部資料_4479" localSheetId="1">財報紅綠燈!#REF!</definedName>
    <definedName name="外部資料_448" localSheetId="8">PKA!#REF!</definedName>
    <definedName name="外部資料_448" localSheetId="9">PKB!#REF!</definedName>
    <definedName name="外部資料_448" localSheetId="10">PKC!#REF!</definedName>
    <definedName name="外部資料_448" localSheetId="1">財報紅綠燈!#REF!</definedName>
    <definedName name="外部資料_4480" localSheetId="1">財報紅綠燈!#REF!</definedName>
    <definedName name="外部資料_4482" localSheetId="1">財報紅綠燈!#REF!</definedName>
    <definedName name="外部資料_4483" localSheetId="1">財報紅綠燈!#REF!</definedName>
    <definedName name="外部資料_4484" localSheetId="1">財報紅綠燈!#REF!</definedName>
    <definedName name="外部資料_4486" localSheetId="1">財報紅綠燈!#REF!</definedName>
    <definedName name="外部資料_4487" localSheetId="1">財報紅綠燈!#REF!</definedName>
    <definedName name="外部資料_4488" localSheetId="1">財報紅綠燈!#REF!</definedName>
    <definedName name="外部資料_449" localSheetId="8">PKA!#REF!</definedName>
    <definedName name="外部資料_449" localSheetId="9">PKB!#REF!</definedName>
    <definedName name="外部資料_449" localSheetId="10">PKC!#REF!</definedName>
    <definedName name="外部資料_4490" localSheetId="1">財報紅綠燈!#REF!</definedName>
    <definedName name="外部資料_4491" localSheetId="1">財報紅綠燈!#REF!</definedName>
    <definedName name="外部資料_4492" localSheetId="1">財報紅綠燈!#REF!</definedName>
    <definedName name="外部資料_4494" localSheetId="1">財報紅綠燈!#REF!</definedName>
    <definedName name="外部資料_4495" localSheetId="1">財報紅綠燈!#REF!</definedName>
    <definedName name="外部資料_4496" localSheetId="1">財報紅綠燈!#REF!</definedName>
    <definedName name="外部資料_4498" localSheetId="1">財報紅綠燈!#REF!</definedName>
    <definedName name="外部資料_4499" localSheetId="1">財報紅綠燈!#REF!</definedName>
    <definedName name="外部資料_45" localSheetId="8">PKA!#REF!</definedName>
    <definedName name="外部資料_45" localSheetId="9">PKB!#REF!</definedName>
    <definedName name="外部資料_45" localSheetId="10">PKC!#REF!</definedName>
    <definedName name="外部資料_45" localSheetId="1">財報紅綠燈!#REF!</definedName>
    <definedName name="外部資料_450" localSheetId="8">PKA!#REF!</definedName>
    <definedName name="外部資料_450" localSheetId="9">PKB!#REF!</definedName>
    <definedName name="外部資料_450" localSheetId="10">PKC!#REF!</definedName>
    <definedName name="外部資料_450" localSheetId="1">財報紅綠燈!#REF!</definedName>
    <definedName name="外部資料_4500" localSheetId="1">財報紅綠燈!#REF!</definedName>
    <definedName name="外部資料_4502" localSheetId="1">財報紅綠燈!#REF!</definedName>
    <definedName name="外部資料_4503" localSheetId="1">財報紅綠燈!#REF!</definedName>
    <definedName name="外部資料_4504" localSheetId="1">財報紅綠燈!#REF!</definedName>
    <definedName name="外部資料_4506" localSheetId="1">財報紅綠燈!#REF!</definedName>
    <definedName name="外部資料_4507" localSheetId="1">財報紅綠燈!#REF!</definedName>
    <definedName name="外部資料_4508" localSheetId="1">財報紅綠燈!#REF!</definedName>
    <definedName name="外部資料_451" localSheetId="8">PKA!#REF!</definedName>
    <definedName name="外部資料_451" localSheetId="9">PKB!#REF!</definedName>
    <definedName name="外部資料_451" localSheetId="10">PKC!#REF!</definedName>
    <definedName name="外部資料_451" localSheetId="1">財報紅綠燈!#REF!</definedName>
    <definedName name="外部資料_4510" localSheetId="1">財報紅綠燈!#REF!</definedName>
    <definedName name="外部資料_4511" localSheetId="1">財報紅綠燈!#REF!</definedName>
    <definedName name="外部資料_4512" localSheetId="1">財報紅綠燈!#REF!</definedName>
    <definedName name="外部資料_4514" localSheetId="1">財報紅綠燈!#REF!</definedName>
    <definedName name="外部資料_4515" localSheetId="1">財報紅綠燈!#REF!</definedName>
    <definedName name="外部資料_4517" localSheetId="1">財報紅綠燈!#REF!</definedName>
    <definedName name="外部資料_4518" localSheetId="1">財報紅綠燈!#REF!</definedName>
    <definedName name="外部資料_4519" localSheetId="1">財報紅綠燈!#REF!</definedName>
    <definedName name="外部資料_452" localSheetId="8">PKA!#REF!</definedName>
    <definedName name="外部資料_452" localSheetId="9">PKB!#REF!</definedName>
    <definedName name="外部資料_452" localSheetId="10">PKC!#REF!</definedName>
    <definedName name="外部資料_452" localSheetId="1">財報紅綠燈!#REF!</definedName>
    <definedName name="外部資料_4521" localSheetId="1">財報紅綠燈!#REF!</definedName>
    <definedName name="外部資料_4522" localSheetId="1">財報紅綠燈!#REF!</definedName>
    <definedName name="外部資料_4523" localSheetId="1">財報紅綠燈!#REF!</definedName>
    <definedName name="外部資料_4525" localSheetId="1">財報紅綠燈!#REF!</definedName>
    <definedName name="外部資料_4526" localSheetId="1">財報紅綠燈!#REF!</definedName>
    <definedName name="外部資料_4527" localSheetId="1">財報紅綠燈!#REF!</definedName>
    <definedName name="外部資料_4529" localSheetId="1">財報紅綠燈!#REF!</definedName>
    <definedName name="外部資料_453" localSheetId="8">PKA!#REF!</definedName>
    <definedName name="外部資料_453" localSheetId="9">PKB!#REF!</definedName>
    <definedName name="外部資料_453" localSheetId="10">PKC!#REF!</definedName>
    <definedName name="外部資料_4530" localSheetId="1">財報紅綠燈!#REF!</definedName>
    <definedName name="外部資料_4531" localSheetId="1">財報紅綠燈!#REF!</definedName>
    <definedName name="外部資料_4533" localSheetId="1">財報紅綠燈!#REF!</definedName>
    <definedName name="外部資料_4534" localSheetId="1">財報紅綠燈!#REF!</definedName>
    <definedName name="外部資料_4535" localSheetId="1">財報紅綠燈!#REF!</definedName>
    <definedName name="外部資料_4537" localSheetId="1">財報紅綠燈!#REF!</definedName>
    <definedName name="外部資料_4538" localSheetId="1">財報紅綠燈!#REF!</definedName>
    <definedName name="外部資料_4539" localSheetId="1">財報紅綠燈!#REF!</definedName>
    <definedName name="外部資料_454" localSheetId="8">PKA!#REF!</definedName>
    <definedName name="外部資料_454" localSheetId="9">PKB!#REF!</definedName>
    <definedName name="外部資料_454" localSheetId="10">PKC!#REF!</definedName>
    <definedName name="外部資料_454" localSheetId="1">財報紅綠燈!#REF!</definedName>
    <definedName name="外部資料_4541" localSheetId="1">財報紅綠燈!#REF!</definedName>
    <definedName name="外部資料_4542" localSheetId="1">財報紅綠燈!#REF!</definedName>
    <definedName name="外部資料_4543" localSheetId="1">財報紅綠燈!#REF!</definedName>
    <definedName name="外部資料_4545" localSheetId="1">財報紅綠燈!#REF!</definedName>
    <definedName name="外部資料_4546" localSheetId="1">財報紅綠燈!#REF!</definedName>
    <definedName name="外部資料_4547" localSheetId="1">財報紅綠燈!#REF!</definedName>
    <definedName name="外部資料_4549" localSheetId="1">財報紅綠燈!#REF!</definedName>
    <definedName name="外部資料_455" localSheetId="8">PKA!#REF!</definedName>
    <definedName name="外部資料_455" localSheetId="9">PKB!#REF!</definedName>
    <definedName name="外部資料_455" localSheetId="10">PKC!#REF!</definedName>
    <definedName name="外部資料_455" localSheetId="1">財報紅綠燈!#REF!</definedName>
    <definedName name="外部資料_4550" localSheetId="1">財報紅綠燈!#REF!</definedName>
    <definedName name="外部資料_4551" localSheetId="1">財報紅綠燈!#REF!</definedName>
    <definedName name="外部資料_4553" localSheetId="1">財報紅綠燈!#REF!</definedName>
    <definedName name="外部資料_4554" localSheetId="1">財報紅綠燈!#REF!</definedName>
    <definedName name="外部資料_4555" localSheetId="1">財報紅綠燈!#REF!</definedName>
    <definedName name="外部資料_4557" localSheetId="1">財報紅綠燈!#REF!</definedName>
    <definedName name="外部資料_4558" localSheetId="1">財報紅綠燈!#REF!</definedName>
    <definedName name="外部資料_4559" localSheetId="1">財報紅綠燈!#REF!</definedName>
    <definedName name="外部資料_456" localSheetId="8">PKA!#REF!</definedName>
    <definedName name="外部資料_456" localSheetId="9">PKB!#REF!</definedName>
    <definedName name="外部資料_456" localSheetId="10">PKC!#REF!</definedName>
    <definedName name="外部資料_456" localSheetId="1">財報紅綠燈!#REF!</definedName>
    <definedName name="外部資料_4561" localSheetId="1">財報紅綠燈!#REF!</definedName>
    <definedName name="外部資料_4562" localSheetId="1">財報紅綠燈!#REF!</definedName>
    <definedName name="外部資料_4564" localSheetId="1">財報紅綠燈!#REF!</definedName>
    <definedName name="外部資料_4565" localSheetId="1">財報紅綠燈!#REF!</definedName>
    <definedName name="外部資料_4566" localSheetId="1">財報紅綠燈!#REF!</definedName>
    <definedName name="外部資料_4568" localSheetId="1">財報紅綠燈!#REF!</definedName>
    <definedName name="外部資料_4569" localSheetId="1">財報紅綠燈!#REF!</definedName>
    <definedName name="外部資料_457" localSheetId="8">PKA!#REF!</definedName>
    <definedName name="外部資料_457" localSheetId="9">PKB!#REF!</definedName>
    <definedName name="外部資料_457" localSheetId="10">PKC!#REF!</definedName>
    <definedName name="外部資料_4570" localSheetId="1">財報紅綠燈!#REF!</definedName>
    <definedName name="外部資料_4572" localSheetId="1">財報紅綠燈!#REF!</definedName>
    <definedName name="外部資料_4573" localSheetId="1">財報紅綠燈!#REF!</definedName>
    <definedName name="外部資料_4574" localSheetId="1">財報紅綠燈!#REF!</definedName>
    <definedName name="外部資料_4576" localSheetId="1">財報紅綠燈!#REF!</definedName>
    <definedName name="外部資料_4577" localSheetId="1">財報紅綠燈!#REF!</definedName>
    <definedName name="外部資料_4578" localSheetId="1">財報紅綠燈!#REF!</definedName>
    <definedName name="外部資料_458" localSheetId="8">PKA!#REF!</definedName>
    <definedName name="外部資料_458" localSheetId="9">PKB!#REF!</definedName>
    <definedName name="外部資料_458" localSheetId="10">PKC!#REF!</definedName>
    <definedName name="外部資料_458" localSheetId="1">財報紅綠燈!#REF!</definedName>
    <definedName name="外部資料_4580" localSheetId="1">財報紅綠燈!#REF!</definedName>
    <definedName name="外部資料_4581" localSheetId="1">財報紅綠燈!#REF!</definedName>
    <definedName name="外部資料_4582" localSheetId="1">財報紅綠燈!#REF!</definedName>
    <definedName name="外部資料_4584" localSheetId="1">財報紅綠燈!#REF!</definedName>
    <definedName name="外部資料_4585" localSheetId="1">財報紅綠燈!#REF!</definedName>
    <definedName name="外部資料_4586" localSheetId="1">財報紅綠燈!#REF!</definedName>
    <definedName name="外部資料_4588" localSheetId="1">財報紅綠燈!#REF!</definedName>
    <definedName name="外部資料_4589" localSheetId="1">財報紅綠燈!#REF!</definedName>
    <definedName name="外部資料_459" localSheetId="8">PKA!#REF!</definedName>
    <definedName name="外部資料_459" localSheetId="9">PKB!#REF!</definedName>
    <definedName name="外部資料_459" localSheetId="10">PKC!#REF!</definedName>
    <definedName name="外部資料_459" localSheetId="1">財報紅綠燈!#REF!</definedName>
    <definedName name="外部資料_4590" localSheetId="1">財報紅綠燈!#REF!</definedName>
    <definedName name="外部資料_4592" localSheetId="1">財報紅綠燈!#REF!</definedName>
    <definedName name="外部資料_4593" localSheetId="1">財報紅綠燈!#REF!</definedName>
    <definedName name="外部資料_4594" localSheetId="1">財報紅綠燈!#REF!</definedName>
    <definedName name="外部資料_4596" localSheetId="1">財報紅綠燈!#REF!</definedName>
    <definedName name="外部資料_4597" localSheetId="1">財報紅綠燈!#REF!</definedName>
    <definedName name="外部資料_4598" localSheetId="1">財報紅綠燈!#REF!</definedName>
    <definedName name="外部資料_46" localSheetId="8">PKA!#REF!</definedName>
    <definedName name="外部資料_46" localSheetId="9">PKB!#REF!</definedName>
    <definedName name="外部資料_46" localSheetId="10">PKC!#REF!</definedName>
    <definedName name="外部資料_46" localSheetId="1">財報紅綠燈!#REF!</definedName>
    <definedName name="外部資料_460" localSheetId="8">PKA!#REF!</definedName>
    <definedName name="外部資料_460" localSheetId="9">PKB!#REF!</definedName>
    <definedName name="外部資料_460" localSheetId="1">財報紅綠燈!#REF!</definedName>
    <definedName name="外部資料_4600" localSheetId="1">財報紅綠燈!#REF!</definedName>
    <definedName name="外部資料_4601" localSheetId="1">財報紅綠燈!#REF!</definedName>
    <definedName name="外部資料_4602" localSheetId="1">財報紅綠燈!#REF!</definedName>
    <definedName name="外部資料_4604" localSheetId="1">財報紅綠燈!#REF!</definedName>
    <definedName name="外部資料_4605" localSheetId="1">財報紅綠燈!#REF!</definedName>
    <definedName name="外部資料_4606" localSheetId="1">財報紅綠燈!#REF!</definedName>
    <definedName name="外部資料_4608" localSheetId="1">財報紅綠燈!#REF!</definedName>
    <definedName name="外部資料_4609" localSheetId="1">財報紅綠燈!#REF!</definedName>
    <definedName name="外部資料_461" localSheetId="8">PKA!#REF!</definedName>
    <definedName name="外部資料_461" localSheetId="9">PKB!#REF!</definedName>
    <definedName name="外部資料_4610" localSheetId="1">財報紅綠燈!#REF!</definedName>
    <definedName name="外部資料_4612" localSheetId="1">財報紅綠燈!#REF!</definedName>
    <definedName name="外部資料_4613" localSheetId="1">財報紅綠燈!#REF!</definedName>
    <definedName name="外部資料_4614" localSheetId="1">財報紅綠燈!#REF!</definedName>
    <definedName name="外部資料_4616" localSheetId="1">財報紅綠燈!#REF!</definedName>
    <definedName name="外部資料_4617" localSheetId="1">財報紅綠燈!#REF!</definedName>
    <definedName name="外部資料_4618" localSheetId="1">財報紅綠燈!#REF!</definedName>
    <definedName name="外部資料_462" localSheetId="8">PKA!#REF!</definedName>
    <definedName name="外部資料_462" localSheetId="9">PKB!#REF!</definedName>
    <definedName name="外部資料_462" localSheetId="1">財報紅綠燈!#REF!</definedName>
    <definedName name="外部資料_4620" localSheetId="1">財報紅綠燈!#REF!</definedName>
    <definedName name="外部資料_4621" localSheetId="1">財報紅綠燈!#REF!</definedName>
    <definedName name="外部資料_4622" localSheetId="1">財報紅綠燈!#REF!</definedName>
    <definedName name="外部資料_4624" localSheetId="1">財報紅綠燈!#REF!</definedName>
    <definedName name="外部資料_4625" localSheetId="1">財報紅綠燈!#REF!</definedName>
    <definedName name="外部資料_4626" localSheetId="1">財報紅綠燈!#REF!</definedName>
    <definedName name="外部資料_4628" localSheetId="1">財報紅綠燈!#REF!</definedName>
    <definedName name="外部資料_4629" localSheetId="1">財報紅綠燈!#REF!</definedName>
    <definedName name="外部資料_463" localSheetId="8">PKA!#REF!</definedName>
    <definedName name="外部資料_463" localSheetId="9">PKB!#REF!</definedName>
    <definedName name="外部資料_463" localSheetId="1">財報紅綠燈!#REF!</definedName>
    <definedName name="外部資料_4630" localSheetId="1">財報紅綠燈!#REF!</definedName>
    <definedName name="外部資料_4632" localSheetId="1">財報紅綠燈!#REF!</definedName>
    <definedName name="外部資料_4633" localSheetId="1">財報紅綠燈!#REF!</definedName>
    <definedName name="外部資料_4634" localSheetId="1">財報紅綠燈!#REF!</definedName>
    <definedName name="外部資料_4636" localSheetId="1">財報紅綠燈!#REF!</definedName>
    <definedName name="外部資料_4637" localSheetId="1">財報紅綠燈!#REF!</definedName>
    <definedName name="外部資料_4638" localSheetId="1">財報紅綠燈!#REF!</definedName>
    <definedName name="外部資料_464" localSheetId="8">PKA!#REF!</definedName>
    <definedName name="外部資料_464" localSheetId="9">PKB!#REF!</definedName>
    <definedName name="外部資料_464" localSheetId="1">財報紅綠燈!#REF!</definedName>
    <definedName name="外部資料_4642" localSheetId="1">財報紅綠燈!#REF!</definedName>
    <definedName name="外部資料_4643" localSheetId="1">財報紅綠燈!#REF!</definedName>
    <definedName name="外部資料_4644" localSheetId="1">財報紅綠燈!#REF!</definedName>
    <definedName name="外部資料_4646" localSheetId="1">財報紅綠燈!#REF!</definedName>
    <definedName name="外部資料_4647" localSheetId="1">財報紅綠燈!#REF!</definedName>
    <definedName name="外部資料_4648" localSheetId="1">財報紅綠燈!#REF!</definedName>
    <definedName name="外部資料_465" localSheetId="8">PKA!#REF!</definedName>
    <definedName name="外部資料_465" localSheetId="9">PKB!#REF!</definedName>
    <definedName name="外部資料_4650" localSheetId="1">財報紅綠燈!#REF!</definedName>
    <definedName name="外部資料_4651" localSheetId="1">財報紅綠燈!#REF!</definedName>
    <definedName name="外部資料_4652" localSheetId="1">財報紅綠燈!#REF!</definedName>
    <definedName name="外部資料_4654" localSheetId="1">財報紅綠燈!#REF!</definedName>
    <definedName name="外部資料_4655" localSheetId="1">財報紅綠燈!#REF!</definedName>
    <definedName name="外部資料_4657" localSheetId="1">財報紅綠燈!#REF!</definedName>
    <definedName name="外部資料_4658" localSheetId="1">財報紅綠燈!#REF!</definedName>
    <definedName name="外部資料_466" localSheetId="8">PKA!#REF!</definedName>
    <definedName name="外部資料_466" localSheetId="9">PKB!#REF!</definedName>
    <definedName name="外部資料_466" localSheetId="1">財報紅綠燈!#REF!</definedName>
    <definedName name="外部資料_4660" localSheetId="1">財報紅綠燈!#REF!</definedName>
    <definedName name="外部資料_4661" localSheetId="1">財報紅綠燈!#REF!</definedName>
    <definedName name="外部資料_4662" localSheetId="1">財報紅綠燈!#REF!</definedName>
    <definedName name="外部資料_4664" localSheetId="1">財報紅綠燈!#REF!</definedName>
    <definedName name="外部資料_4665" localSheetId="1">財報紅綠燈!#REF!</definedName>
    <definedName name="外部資料_4666" localSheetId="1">財報紅綠燈!#REF!</definedName>
    <definedName name="外部資料_4668" localSheetId="1">財報紅綠燈!#REF!</definedName>
    <definedName name="外部資料_4669" localSheetId="1">財報紅綠燈!#REF!</definedName>
    <definedName name="外部資料_467" localSheetId="8">PKA!#REF!</definedName>
    <definedName name="外部資料_467" localSheetId="9">PKB!#REF!</definedName>
    <definedName name="外部資料_467" localSheetId="1">財報紅綠燈!#REF!</definedName>
    <definedName name="外部資料_4670" localSheetId="1">財報紅綠燈!#REF!</definedName>
    <definedName name="外部資料_4672" localSheetId="1">財報紅綠燈!#REF!</definedName>
    <definedName name="外部資料_4673" localSheetId="1">財報紅綠燈!#REF!</definedName>
    <definedName name="外部資料_4674" localSheetId="1">財報紅綠燈!#REF!</definedName>
    <definedName name="外部資料_4676" localSheetId="1">財報紅綠燈!#REF!</definedName>
    <definedName name="外部資料_4677" localSheetId="1">財報紅綠燈!#REF!</definedName>
    <definedName name="外部資料_4678" localSheetId="1">財報紅綠燈!#REF!</definedName>
    <definedName name="外部資料_468" localSheetId="8">PKA!#REF!</definedName>
    <definedName name="外部資料_468" localSheetId="9">PKB!#REF!</definedName>
    <definedName name="外部資料_468" localSheetId="1">財報紅綠燈!#REF!</definedName>
    <definedName name="外部資料_4680" localSheetId="1">財報紅綠燈!#REF!</definedName>
    <definedName name="外部資料_4681" localSheetId="1">財報紅綠燈!#REF!</definedName>
    <definedName name="外部資料_4682" localSheetId="1">財報紅綠燈!#REF!</definedName>
    <definedName name="外部資料_4684" localSheetId="1">財報紅綠燈!#REF!</definedName>
    <definedName name="外部資料_4685" localSheetId="1">財報紅綠燈!#REF!</definedName>
    <definedName name="外部資料_4686" localSheetId="1">財報紅綠燈!#REF!</definedName>
    <definedName name="外部資料_4688" localSheetId="1">財報紅綠燈!#REF!</definedName>
    <definedName name="外部資料_4689" localSheetId="1">財報紅綠燈!#REF!</definedName>
    <definedName name="外部資料_469" localSheetId="8">PKA!#REF!</definedName>
    <definedName name="外部資料_469" localSheetId="9">PKB!#REF!</definedName>
    <definedName name="外部資料_4690" localSheetId="1">財報紅綠燈!#REF!</definedName>
    <definedName name="外部資料_4692" localSheetId="1">財報紅綠燈!#REF!</definedName>
    <definedName name="外部資料_4693" localSheetId="1">財報紅綠燈!#REF!</definedName>
    <definedName name="外部資料_4694" localSheetId="1">財報紅綠燈!#REF!</definedName>
    <definedName name="外部資料_4696" localSheetId="1">財報紅綠燈!#REF!</definedName>
    <definedName name="外部資料_4697" localSheetId="1">財報紅綠燈!#REF!</definedName>
    <definedName name="外部資料_4698" localSheetId="1">財報紅綠燈!#REF!</definedName>
    <definedName name="外部資料_47" localSheetId="8">PKA!#REF!</definedName>
    <definedName name="外部資料_47" localSheetId="9">PKB!#REF!</definedName>
    <definedName name="外部資料_47" localSheetId="10">PKC!#REF!</definedName>
    <definedName name="外部資料_470" localSheetId="8">PKA!#REF!</definedName>
    <definedName name="外部資料_470" localSheetId="9">PKB!#REF!</definedName>
    <definedName name="外部資料_470" localSheetId="1">財報紅綠燈!#REF!</definedName>
    <definedName name="外部資料_4700" localSheetId="1">財報紅綠燈!#REF!</definedName>
    <definedName name="外部資料_4701" localSheetId="1">財報紅綠燈!#REF!</definedName>
    <definedName name="外部資料_4702" localSheetId="1">財報紅綠燈!#REF!</definedName>
    <definedName name="外部資料_4704" localSheetId="1">財報紅綠燈!#REF!</definedName>
    <definedName name="外部資料_4705" localSheetId="1">財報紅綠燈!#REF!</definedName>
    <definedName name="外部資料_4706" localSheetId="1">財報紅綠燈!#REF!</definedName>
    <definedName name="外部資料_4708" localSheetId="1">財報紅綠燈!#REF!</definedName>
    <definedName name="外部資料_4709" localSheetId="1">財報紅綠燈!#REF!</definedName>
    <definedName name="外部資料_471" localSheetId="8">PKA!#REF!</definedName>
    <definedName name="外部資料_471" localSheetId="9">PKB!#REF!</definedName>
    <definedName name="外部資料_471" localSheetId="1">財報紅綠燈!#REF!</definedName>
    <definedName name="外部資料_4710" localSheetId="1">財報紅綠燈!#REF!</definedName>
    <definedName name="外部資料_4712" localSheetId="1">財報紅綠燈!#REF!</definedName>
    <definedName name="外部資料_4713" localSheetId="1">財報紅綠燈!#REF!</definedName>
    <definedName name="外部資料_4714" localSheetId="1">財報紅綠燈!#REF!</definedName>
    <definedName name="外部資料_4716" localSheetId="1">財報紅綠燈!#REF!</definedName>
    <definedName name="外部資料_4717" localSheetId="1">財報紅綠燈!#REF!</definedName>
    <definedName name="外部資料_4718" localSheetId="1">財報紅綠燈!#REF!</definedName>
    <definedName name="外部資料_472" localSheetId="8">PKA!#REF!</definedName>
    <definedName name="外部資料_472" localSheetId="9">PKB!#REF!</definedName>
    <definedName name="外部資料_472" localSheetId="1">財報紅綠燈!#REF!</definedName>
    <definedName name="外部資料_4720" localSheetId="1">財報紅綠燈!#REF!</definedName>
    <definedName name="外部資料_4721" localSheetId="1">財報紅綠燈!#REF!</definedName>
    <definedName name="外部資料_4722" localSheetId="1">財報紅綠燈!#REF!</definedName>
    <definedName name="外部資料_4724" localSheetId="1">財報紅綠燈!#REF!</definedName>
    <definedName name="外部資料_4725" localSheetId="1">財報紅綠燈!#REF!</definedName>
    <definedName name="外部資料_4726" localSheetId="1">財報紅綠燈!#REF!</definedName>
    <definedName name="外部資料_4728" localSheetId="1">財報紅綠燈!#REF!</definedName>
    <definedName name="外部資料_4729" localSheetId="1">財報紅綠燈!#REF!</definedName>
    <definedName name="外部資料_473" localSheetId="8">PKA!#REF!</definedName>
    <definedName name="外部資料_473" localSheetId="9">PKB!#REF!</definedName>
    <definedName name="外部資料_4730" localSheetId="1">財報紅綠燈!#REF!</definedName>
    <definedName name="外部資料_4732" localSheetId="1">財報紅綠燈!#REF!</definedName>
    <definedName name="外部資料_4733" localSheetId="1">財報紅綠燈!#REF!</definedName>
    <definedName name="外部資料_4734" localSheetId="1">財報紅綠燈!#REF!</definedName>
    <definedName name="外部資料_4736" localSheetId="1">財報紅綠燈!#REF!</definedName>
    <definedName name="外部資料_4737" localSheetId="1">財報紅綠燈!#REF!</definedName>
    <definedName name="外部資料_4738" localSheetId="1">財報紅綠燈!#REF!</definedName>
    <definedName name="外部資料_474" localSheetId="8">PKA!#REF!</definedName>
    <definedName name="外部資料_474" localSheetId="9">PKB!#REF!</definedName>
    <definedName name="外部資料_474" localSheetId="1">財報紅綠燈!#REF!</definedName>
    <definedName name="外部資料_4740" localSheetId="1">財報紅綠燈!#REF!</definedName>
    <definedName name="外部資料_4741" localSheetId="1">財報紅綠燈!#REF!</definedName>
    <definedName name="外部資料_4743" localSheetId="1">財報紅綠燈!#REF!</definedName>
    <definedName name="外部資料_4744" localSheetId="1">財報紅綠燈!#REF!</definedName>
    <definedName name="外部資料_4745" localSheetId="1">財報紅綠燈!#REF!</definedName>
    <definedName name="外部資料_4747" localSheetId="1">財報紅綠燈!#REF!</definedName>
    <definedName name="外部資料_4748" localSheetId="1">財報紅綠燈!#REF!</definedName>
    <definedName name="外部資料_4749" localSheetId="1">財報紅綠燈!#REF!</definedName>
    <definedName name="外部資料_475" localSheetId="8">PKA!#REF!</definedName>
    <definedName name="外部資料_475" localSheetId="9">PKB!#REF!</definedName>
    <definedName name="外部資料_475" localSheetId="1">財報紅綠燈!#REF!</definedName>
    <definedName name="外部資料_4751" localSheetId="1">財報紅綠燈!#REF!</definedName>
    <definedName name="外部資料_4752" localSheetId="1">財報紅綠燈!#REF!</definedName>
    <definedName name="外部資料_4753" localSheetId="1">財報紅綠燈!#REF!</definedName>
    <definedName name="外部資料_4755" localSheetId="1">財報紅綠燈!#REF!</definedName>
    <definedName name="外部資料_4756" localSheetId="1">財報紅綠燈!#REF!</definedName>
    <definedName name="外部資料_4757" localSheetId="1">財報紅綠燈!#REF!</definedName>
    <definedName name="外部資料_4759" localSheetId="1">財報紅綠燈!#REF!</definedName>
    <definedName name="外部資料_476" localSheetId="8">PKA!#REF!</definedName>
    <definedName name="外部資料_476" localSheetId="9">PKB!#REF!</definedName>
    <definedName name="外部資料_476" localSheetId="1">財報紅綠燈!#REF!</definedName>
    <definedName name="外部資料_4760" localSheetId="1">財報紅綠燈!#REF!</definedName>
    <definedName name="外部資料_4761" localSheetId="1">財報紅綠燈!#REF!</definedName>
    <definedName name="外部資料_4763" localSheetId="1">財報紅綠燈!#REF!</definedName>
    <definedName name="外部資料_4764" localSheetId="1">財報紅綠燈!#REF!</definedName>
    <definedName name="外部資料_4765" localSheetId="1">財報紅綠燈!#REF!</definedName>
    <definedName name="外部資料_4767" localSheetId="1">財報紅綠燈!#REF!</definedName>
    <definedName name="外部資料_4768" localSheetId="1">財報紅綠燈!#REF!</definedName>
    <definedName name="外部資料_4769" localSheetId="1">財報紅綠燈!#REF!</definedName>
    <definedName name="外部資料_477" localSheetId="8">PKA!#REF!</definedName>
    <definedName name="外部資料_477" localSheetId="9">PKB!#REF!</definedName>
    <definedName name="外部資料_4771" localSheetId="1">財報紅綠燈!#REF!</definedName>
    <definedName name="外部資料_4772" localSheetId="1">財報紅綠燈!#REF!</definedName>
    <definedName name="外部資料_4773" localSheetId="1">財報紅綠燈!#REF!</definedName>
    <definedName name="外部資料_4775" localSheetId="1">財報紅綠燈!#REF!</definedName>
    <definedName name="外部資料_4776" localSheetId="1">財報紅綠燈!#REF!</definedName>
    <definedName name="外部資料_4777" localSheetId="1">財報紅綠燈!#REF!</definedName>
    <definedName name="外部資料_4779" localSheetId="1">財報紅綠燈!#REF!</definedName>
    <definedName name="外部資料_478" localSheetId="8">PKA!#REF!</definedName>
    <definedName name="外部資料_478" localSheetId="9">PKB!#REF!</definedName>
    <definedName name="外部資料_478" localSheetId="1">財報紅綠燈!#REF!</definedName>
    <definedName name="外部資料_4780" localSheetId="1">財報紅綠燈!#REF!</definedName>
    <definedName name="外部資料_4781" localSheetId="1">財報紅綠燈!#REF!</definedName>
    <definedName name="外部資料_4783" localSheetId="1">財報紅綠燈!#REF!</definedName>
    <definedName name="外部資料_4784" localSheetId="1">財報紅綠燈!#REF!</definedName>
    <definedName name="外部資料_4785" localSheetId="1">財報紅綠燈!#REF!</definedName>
    <definedName name="外部資料_4787" localSheetId="1">財報紅綠燈!#REF!</definedName>
    <definedName name="外部資料_4788" localSheetId="1">財報紅綠燈!#REF!</definedName>
    <definedName name="外部資料_4789" localSheetId="1">財報紅綠燈!#REF!</definedName>
    <definedName name="外部資料_479" localSheetId="8">PKA!#REF!</definedName>
    <definedName name="外部資料_479" localSheetId="9">PKB!#REF!</definedName>
    <definedName name="外部資料_479" localSheetId="1">財報紅綠燈!#REF!</definedName>
    <definedName name="外部資料_4791" localSheetId="1">財報紅綠燈!#REF!</definedName>
    <definedName name="外部資料_4792" localSheetId="1">財報紅綠燈!#REF!</definedName>
    <definedName name="外部資料_4793" localSheetId="1">財報紅綠燈!#REF!</definedName>
    <definedName name="外部資料_4795" localSheetId="1">財報紅綠燈!#REF!</definedName>
    <definedName name="外部資料_4796" localSheetId="1">財報紅綠燈!#REF!</definedName>
    <definedName name="外部資料_4797" localSheetId="1">財報紅綠燈!#REF!</definedName>
    <definedName name="外部資料_4799" localSheetId="1">財報紅綠燈!#REF!</definedName>
    <definedName name="外部資料_48" localSheetId="8">PKA!#REF!</definedName>
    <definedName name="外部資料_48" localSheetId="9">PKB!#REF!</definedName>
    <definedName name="外部資料_48" localSheetId="10">PKC!#REF!</definedName>
    <definedName name="外部資料_48" localSheetId="1">財報紅綠燈!#REF!</definedName>
    <definedName name="外部資料_480" localSheetId="8">PKA!#REF!</definedName>
    <definedName name="外部資料_480" localSheetId="9">PKB!#REF!</definedName>
    <definedName name="外部資料_480" localSheetId="1">財報紅綠燈!#REF!</definedName>
    <definedName name="外部資料_4800" localSheetId="1">財報紅綠燈!#REF!</definedName>
    <definedName name="外部資料_4801" localSheetId="1">財報紅綠燈!#REF!</definedName>
    <definedName name="外部資料_4803" localSheetId="1">財報紅綠燈!#REF!</definedName>
    <definedName name="外部資料_4804" localSheetId="1">財報紅綠燈!#REF!</definedName>
    <definedName name="外部資料_4805" localSheetId="1">財報紅綠燈!#REF!</definedName>
    <definedName name="外部資料_4807" localSheetId="1">財報紅綠燈!#REF!</definedName>
    <definedName name="外部資料_4808" localSheetId="1">財報紅綠燈!#REF!</definedName>
    <definedName name="外部資料_4809" localSheetId="1">財報紅綠燈!#REF!</definedName>
    <definedName name="外部資料_481" localSheetId="8">PKA!#REF!</definedName>
    <definedName name="外部資料_481" localSheetId="9">PKB!#REF!</definedName>
    <definedName name="外部資料_4811" localSheetId="1">財報紅綠燈!#REF!</definedName>
    <definedName name="外部資料_4812" localSheetId="1">財報紅綠燈!#REF!</definedName>
    <definedName name="外部資料_4813" localSheetId="1">財報紅綠燈!#REF!</definedName>
    <definedName name="外部資料_4815" localSheetId="1">財報紅綠燈!#REF!</definedName>
    <definedName name="外部資料_4816" localSheetId="1">財報紅綠燈!#REF!</definedName>
    <definedName name="外部資料_4817" localSheetId="1">財報紅綠燈!#REF!</definedName>
    <definedName name="外部資料_4819" localSheetId="1">財報紅綠燈!#REF!</definedName>
    <definedName name="外部資料_482" localSheetId="8">PKA!#REF!</definedName>
    <definedName name="外部資料_482" localSheetId="9">PKB!#REF!</definedName>
    <definedName name="外部資料_482" localSheetId="1">財報紅綠燈!#REF!</definedName>
    <definedName name="外部資料_4820" localSheetId="1">財報紅綠燈!#REF!</definedName>
    <definedName name="外部資料_4821" localSheetId="1">財報紅綠燈!#REF!</definedName>
    <definedName name="外部資料_4823" localSheetId="1">財報紅綠燈!#REF!</definedName>
    <definedName name="外部資料_4824" localSheetId="1">財報紅綠燈!#REF!</definedName>
    <definedName name="外部資料_4825" localSheetId="1">財報紅綠燈!#REF!</definedName>
    <definedName name="外部資料_4827" localSheetId="1">財報紅綠燈!#REF!</definedName>
    <definedName name="外部資料_4828" localSheetId="1">財報紅綠燈!#REF!</definedName>
    <definedName name="外部資料_4829" localSheetId="1">財報紅綠燈!#REF!</definedName>
    <definedName name="外部資料_483" localSheetId="8">PKA!#REF!</definedName>
    <definedName name="外部資料_483" localSheetId="9">PKB!#REF!</definedName>
    <definedName name="外部資料_483" localSheetId="1">財報紅綠燈!#REF!</definedName>
    <definedName name="外部資料_4831" localSheetId="1">財報紅綠燈!#REF!</definedName>
    <definedName name="外部資料_4832" localSheetId="1">財報紅綠燈!#REF!</definedName>
    <definedName name="外部資料_4833" localSheetId="1">財報紅綠燈!#REF!</definedName>
    <definedName name="外部資料_4835" localSheetId="1">財報紅綠燈!#REF!</definedName>
    <definedName name="外部資料_4836" localSheetId="1">財報紅綠燈!#REF!</definedName>
    <definedName name="外部資料_4837" localSheetId="1">財報紅綠燈!#REF!</definedName>
    <definedName name="外部資料_4839" localSheetId="1">財報紅綠燈!#REF!</definedName>
    <definedName name="外部資料_484" localSheetId="8">PKA!#REF!</definedName>
    <definedName name="外部資料_484" localSheetId="9">PKB!#REF!</definedName>
    <definedName name="外部資料_484" localSheetId="1">財報紅綠燈!#REF!</definedName>
    <definedName name="外部資料_4840" localSheetId="1">財報紅綠燈!#REF!</definedName>
    <definedName name="外部資料_4841" localSheetId="1">財報紅綠燈!#REF!</definedName>
    <definedName name="外部資料_4843" localSheetId="1">財報紅綠燈!#REF!</definedName>
    <definedName name="外部資料_4844" localSheetId="1">財報紅綠燈!#REF!</definedName>
    <definedName name="外部資料_4845" localSheetId="1">財報紅綠燈!#REF!</definedName>
    <definedName name="外部資料_4847" localSheetId="1">財報紅綠燈!#REF!</definedName>
    <definedName name="外部資料_4848" localSheetId="1">財報紅綠燈!#REF!</definedName>
    <definedName name="外部資料_4849" localSheetId="1">財報紅綠燈!#REF!</definedName>
    <definedName name="外部資料_485" localSheetId="8">PKA!#REF!</definedName>
    <definedName name="外部資料_485" localSheetId="9">PKB!#REF!</definedName>
    <definedName name="外部資料_4851" localSheetId="1">財報紅綠燈!#REF!</definedName>
    <definedName name="外部資料_4852" localSheetId="1">財報紅綠燈!#REF!</definedName>
    <definedName name="外部資料_4853" localSheetId="1">財報紅綠燈!#REF!</definedName>
    <definedName name="外部資料_4855" localSheetId="1">財報紅綠燈!#REF!</definedName>
    <definedName name="外部資料_4856" localSheetId="1">財報紅綠燈!#REF!</definedName>
    <definedName name="外部資料_4857" localSheetId="1">財報紅綠燈!#REF!</definedName>
    <definedName name="外部資料_4859" localSheetId="1">財報紅綠燈!#REF!</definedName>
    <definedName name="外部資料_486" localSheetId="8">PKA!#REF!</definedName>
    <definedName name="外部資料_486" localSheetId="9">PKB!#REF!</definedName>
    <definedName name="外部資料_486" localSheetId="1">財報紅綠燈!#REF!</definedName>
    <definedName name="外部資料_4860" localSheetId="1">財報紅綠燈!#REF!</definedName>
    <definedName name="外部資料_4861" localSheetId="1">財報紅綠燈!#REF!</definedName>
    <definedName name="外部資料_4863" localSheetId="1">財報紅綠燈!#REF!</definedName>
    <definedName name="外部資料_4864" localSheetId="1">財報紅綠燈!#REF!</definedName>
    <definedName name="外部資料_4865" localSheetId="1">財報紅綠燈!#REF!</definedName>
    <definedName name="外部資料_4867" localSheetId="1">財報紅綠燈!#REF!</definedName>
    <definedName name="外部資料_4868" localSheetId="1">財報紅綠燈!#REF!</definedName>
    <definedName name="外部資料_4869" localSheetId="1">財報紅綠燈!#REF!</definedName>
    <definedName name="外部資料_487" localSheetId="8">PKA!#REF!</definedName>
    <definedName name="外部資料_487" localSheetId="9">PKB!#REF!</definedName>
    <definedName name="外部資料_487" localSheetId="1">財報紅綠燈!#REF!</definedName>
    <definedName name="外部資料_4871" localSheetId="1">財報紅綠燈!#REF!</definedName>
    <definedName name="外部資料_4872" localSheetId="1">財報紅綠燈!#REF!</definedName>
    <definedName name="外部資料_4873" localSheetId="1">財報紅綠燈!#REF!</definedName>
    <definedName name="外部資料_4875" localSheetId="1">財報紅綠燈!#REF!</definedName>
    <definedName name="外部資料_4876" localSheetId="1">財報紅綠燈!#REF!</definedName>
    <definedName name="外部資料_4877" localSheetId="1">財報紅綠燈!#REF!</definedName>
    <definedName name="外部資料_4879" localSheetId="1">財報紅綠燈!#REF!</definedName>
    <definedName name="外部資料_488" localSheetId="8">PKA!#REF!</definedName>
    <definedName name="外部資料_488" localSheetId="9">PKB!#REF!</definedName>
    <definedName name="外部資料_488" localSheetId="1">財報紅綠燈!#REF!</definedName>
    <definedName name="外部資料_4880" localSheetId="1">財報紅綠燈!#REF!</definedName>
    <definedName name="外部資料_4881" localSheetId="1">財報紅綠燈!#REF!</definedName>
    <definedName name="外部資料_4883" localSheetId="1">財報紅綠燈!#REF!</definedName>
    <definedName name="外部資料_4884" localSheetId="1">財報紅綠燈!#REF!</definedName>
    <definedName name="外部資料_4885" localSheetId="1">財報紅綠燈!#REF!</definedName>
    <definedName name="外部資料_4887" localSheetId="1">財報紅綠燈!#REF!</definedName>
    <definedName name="外部資料_4888" localSheetId="1">財報紅綠燈!#REF!</definedName>
    <definedName name="外部資料_4889" localSheetId="1">財報紅綠燈!#REF!</definedName>
    <definedName name="外部資料_489" localSheetId="8">PKA!#REF!</definedName>
    <definedName name="外部資料_489" localSheetId="9">PKB!#REF!</definedName>
    <definedName name="外部資料_4891" localSheetId="1">財報紅綠燈!#REF!</definedName>
    <definedName name="外部資料_4892" localSheetId="1">財報紅綠燈!#REF!</definedName>
    <definedName name="外部資料_4893" localSheetId="1">財報紅綠燈!#REF!</definedName>
    <definedName name="外部資料_4895" localSheetId="1">財報紅綠燈!#REF!</definedName>
    <definedName name="外部資料_4896" localSheetId="1">財報紅綠燈!#REF!</definedName>
    <definedName name="外部資料_4897" localSheetId="1">財報紅綠燈!#REF!</definedName>
    <definedName name="外部資料_4899" localSheetId="1">財報紅綠燈!#REF!</definedName>
    <definedName name="外部資料_49" localSheetId="8">PKA!#REF!</definedName>
    <definedName name="外部資料_49" localSheetId="9">PKB!#REF!</definedName>
    <definedName name="外部資料_49" localSheetId="10">PKC!#REF!</definedName>
    <definedName name="外部資料_49" localSheetId="1">財報紅綠燈!#REF!</definedName>
    <definedName name="外部資料_490" localSheetId="8">PKA!#REF!</definedName>
    <definedName name="外部資料_490" localSheetId="9">PKB!#REF!</definedName>
    <definedName name="外部資料_490" localSheetId="1">財報紅綠燈!#REF!</definedName>
    <definedName name="外部資料_4900" localSheetId="1">財報紅綠燈!#REF!</definedName>
    <definedName name="外部資料_4901" localSheetId="1">財報紅綠燈!#REF!</definedName>
    <definedName name="外部資料_4903" localSheetId="1">財報紅綠燈!#REF!</definedName>
    <definedName name="外部資料_4904" localSheetId="1">財報紅綠燈!#REF!</definedName>
    <definedName name="外部資料_4905" localSheetId="1">財報紅綠燈!#REF!</definedName>
    <definedName name="外部資料_4907" localSheetId="1">財報紅綠燈!#REF!</definedName>
    <definedName name="外部資料_4908" localSheetId="1">財報紅綠燈!#REF!</definedName>
    <definedName name="外部資料_4909" localSheetId="1">財報紅綠燈!#REF!</definedName>
    <definedName name="外部資料_491" localSheetId="8">PKA!#REF!</definedName>
    <definedName name="外部資料_491" localSheetId="9">PKB!#REF!</definedName>
    <definedName name="外部資料_491" localSheetId="1">財報紅綠燈!#REF!</definedName>
    <definedName name="外部資料_4911" localSheetId="1">財報紅綠燈!#REF!</definedName>
    <definedName name="外部資料_4912" localSheetId="1">財報紅綠燈!#REF!</definedName>
    <definedName name="外部資料_4913" localSheetId="1">財報紅綠燈!#REF!</definedName>
    <definedName name="外部資料_4915" localSheetId="1">財報紅綠燈!#REF!</definedName>
    <definedName name="外部資料_4916" localSheetId="1">財報紅綠燈!#REF!</definedName>
    <definedName name="外部資料_4917" localSheetId="1">財報紅綠燈!#REF!</definedName>
    <definedName name="外部資料_4919" localSheetId="1">財報紅綠燈!#REF!</definedName>
    <definedName name="外部資料_492" localSheetId="8">PKA!#REF!</definedName>
    <definedName name="外部資料_492" localSheetId="9">PKB!#REF!</definedName>
    <definedName name="外部資料_492" localSheetId="1">財報紅綠燈!#REF!</definedName>
    <definedName name="外部資料_4920" localSheetId="1">財報紅綠燈!#REF!</definedName>
    <definedName name="外部資料_4921" localSheetId="1">財報紅綠燈!#REF!</definedName>
    <definedName name="外部資料_4923" localSheetId="1">財報紅綠燈!#REF!</definedName>
    <definedName name="外部資料_4924" localSheetId="1">財報紅綠燈!#REF!</definedName>
    <definedName name="外部資料_4925" localSheetId="1">財報紅綠燈!#REF!</definedName>
    <definedName name="外部資料_4927" localSheetId="1">財報紅綠燈!#REF!</definedName>
    <definedName name="外部資料_4928" localSheetId="1">財報紅綠燈!#REF!</definedName>
    <definedName name="外部資料_4929" localSheetId="1">財報紅綠燈!#REF!</definedName>
    <definedName name="外部資料_493" localSheetId="8">PKA!#REF!</definedName>
    <definedName name="外部資料_493" localSheetId="9">PKB!#REF!</definedName>
    <definedName name="外部資料_4931" localSheetId="1">財報紅綠燈!#REF!</definedName>
    <definedName name="外部資料_4932" localSheetId="1">財報紅綠燈!#REF!</definedName>
    <definedName name="外部資料_4933" localSheetId="1">財報紅綠燈!#REF!</definedName>
    <definedName name="外部資料_4935" localSheetId="1">財報紅綠燈!#REF!</definedName>
    <definedName name="外部資料_4936" localSheetId="1">財報紅綠燈!#REF!</definedName>
    <definedName name="外部資料_4937" localSheetId="1">財報紅綠燈!#REF!</definedName>
    <definedName name="外部資料_4939" localSheetId="1">財報紅綠燈!#REF!</definedName>
    <definedName name="外部資料_494" localSheetId="8">PKA!#REF!</definedName>
    <definedName name="外部資料_494" localSheetId="9">PKB!#REF!</definedName>
    <definedName name="外部資料_494" localSheetId="1">財報紅綠燈!#REF!</definedName>
    <definedName name="外部資料_4940" localSheetId="1">財報紅綠燈!#REF!</definedName>
    <definedName name="外部資料_4941" localSheetId="1">財報紅綠燈!#REF!</definedName>
    <definedName name="外部資料_4943" localSheetId="1">財報紅綠燈!#REF!</definedName>
    <definedName name="外部資料_4944" localSheetId="1">財報紅綠燈!#REF!</definedName>
    <definedName name="外部資料_4945" localSheetId="1">財報紅綠燈!#REF!</definedName>
    <definedName name="外部資料_4947" localSheetId="1">財報紅綠燈!#REF!</definedName>
    <definedName name="外部資料_4948" localSheetId="1">財報紅綠燈!#REF!</definedName>
    <definedName name="外部資料_4949" localSheetId="1">財報紅綠燈!#REF!</definedName>
    <definedName name="外部資料_495" localSheetId="8">PKA!#REF!</definedName>
    <definedName name="外部資料_495" localSheetId="9">PKB!#REF!</definedName>
    <definedName name="外部資料_495" localSheetId="1">財報紅綠燈!#REF!</definedName>
    <definedName name="外部資料_4951" localSheetId="1">財報紅綠燈!#REF!</definedName>
    <definedName name="外部資料_4952" localSheetId="1">財報紅綠燈!#REF!</definedName>
    <definedName name="外部資料_4953" localSheetId="1">財報紅綠燈!#REF!</definedName>
    <definedName name="外部資料_4955" localSheetId="1">財報紅綠燈!#REF!</definedName>
    <definedName name="外部資料_4956" localSheetId="1">財報紅綠燈!#REF!</definedName>
    <definedName name="外部資料_4957" localSheetId="1">財報紅綠燈!#REF!</definedName>
    <definedName name="外部資料_4959" localSheetId="1">財報紅綠燈!#REF!</definedName>
    <definedName name="外部資料_496" localSheetId="8">PKA!#REF!</definedName>
    <definedName name="外部資料_496" localSheetId="9">PKB!#REF!</definedName>
    <definedName name="外部資料_496" localSheetId="1">財報紅綠燈!#REF!</definedName>
    <definedName name="外部資料_4960" localSheetId="1">財報紅綠燈!#REF!</definedName>
    <definedName name="外部資料_4961" localSheetId="1">財報紅綠燈!#REF!</definedName>
    <definedName name="外部資料_4963" localSheetId="1">財報紅綠燈!#REF!</definedName>
    <definedName name="外部資料_4964" localSheetId="1">財報紅綠燈!#REF!</definedName>
    <definedName name="外部資料_4965" localSheetId="1">財報紅綠燈!#REF!</definedName>
    <definedName name="外部資料_4967" localSheetId="1">財報紅綠燈!#REF!</definedName>
    <definedName name="外部資料_4968" localSheetId="1">財報紅綠燈!#REF!</definedName>
    <definedName name="外部資料_4969" localSheetId="1">財報紅綠燈!#REF!</definedName>
    <definedName name="外部資料_497" localSheetId="8">PKA!#REF!</definedName>
    <definedName name="外部資料_497" localSheetId="9">PKB!#REF!</definedName>
    <definedName name="外部資料_4971" localSheetId="1">財報紅綠燈!#REF!</definedName>
    <definedName name="外部資料_4972" localSheetId="1">財報紅綠燈!#REF!</definedName>
    <definedName name="外部資料_4973" localSheetId="1">財報紅綠燈!#REF!</definedName>
    <definedName name="外部資料_4975" localSheetId="1">財報紅綠燈!#REF!</definedName>
    <definedName name="外部資料_4976" localSheetId="1">財報紅綠燈!#REF!</definedName>
    <definedName name="外部資料_4977" localSheetId="1">財報紅綠燈!#REF!</definedName>
    <definedName name="外部資料_4979" localSheetId="1">財報紅綠燈!#REF!</definedName>
    <definedName name="外部資料_498" localSheetId="8">PKA!#REF!</definedName>
    <definedName name="外部資料_498" localSheetId="9">PKB!#REF!</definedName>
    <definedName name="外部資料_498" localSheetId="1">財報紅綠燈!#REF!</definedName>
    <definedName name="外部資料_4980" localSheetId="1">財報紅綠燈!#REF!</definedName>
    <definedName name="外部資料_4981" localSheetId="1">財報紅綠燈!#REF!</definedName>
    <definedName name="外部資料_4983" localSheetId="1">財報紅綠燈!#REF!</definedName>
    <definedName name="外部資料_4984" localSheetId="1">財報紅綠燈!#REF!</definedName>
    <definedName name="外部資料_4985" localSheetId="1">財報紅綠燈!#REF!</definedName>
    <definedName name="外部資料_4987" localSheetId="1">財報紅綠燈!#REF!</definedName>
    <definedName name="外部資料_4988" localSheetId="1">財報紅綠燈!#REF!</definedName>
    <definedName name="外部資料_4989" localSheetId="1">財報紅綠燈!#REF!</definedName>
    <definedName name="外部資料_499" localSheetId="8">PKA!#REF!</definedName>
    <definedName name="外部資料_499" localSheetId="9">PKB!#REF!</definedName>
    <definedName name="外部資料_499" localSheetId="1">財報紅綠燈!#REF!</definedName>
    <definedName name="外部資料_4991" localSheetId="1">財報紅綠燈!#REF!</definedName>
    <definedName name="外部資料_4992" localSheetId="1">財報紅綠燈!#REF!</definedName>
    <definedName name="外部資料_4993" localSheetId="1">財報紅綠燈!#REF!</definedName>
    <definedName name="外部資料_4995" localSheetId="1">財報紅綠燈!#REF!</definedName>
    <definedName name="外部資料_4996" localSheetId="1">財報紅綠燈!#REF!</definedName>
    <definedName name="外部資料_4997" localSheetId="1">財報紅綠燈!#REF!</definedName>
    <definedName name="外部資料_4999" localSheetId="1">財報紅綠燈!#REF!</definedName>
    <definedName name="外部資料_5" localSheetId="8">PKA!#REF!</definedName>
    <definedName name="外部資料_5" localSheetId="9">PKB!#REF!</definedName>
    <definedName name="外部資料_5" localSheetId="10">PKC!#REF!</definedName>
    <definedName name="外部資料_5" localSheetId="11">PRICE!#REF!</definedName>
    <definedName name="外部資料_5" localSheetId="1">財報紅綠燈!#REF!</definedName>
    <definedName name="外部資料_5" localSheetId="5">評比系統!#REF!</definedName>
    <definedName name="外部資料_5" localSheetId="3">篩股系統!#REF!</definedName>
    <definedName name="外部資料_50" localSheetId="8">PKA!#REF!</definedName>
    <definedName name="外部資料_50" localSheetId="9">PKB!#REF!</definedName>
    <definedName name="外部資料_50" localSheetId="10">PKC!#REF!</definedName>
    <definedName name="外部資料_50" localSheetId="1">財報紅綠燈!#REF!</definedName>
    <definedName name="外部資料_500" localSheetId="8">PKA!#REF!</definedName>
    <definedName name="外部資料_500" localSheetId="9">PKB!#REF!</definedName>
    <definedName name="外部資料_500" localSheetId="1">財報紅綠燈!#REF!</definedName>
    <definedName name="外部資料_5000" localSheetId="1">財報紅綠燈!#REF!</definedName>
    <definedName name="外部資料_5001" localSheetId="1">財報紅綠燈!#REF!</definedName>
    <definedName name="外部資料_5003" localSheetId="1">財報紅綠燈!#REF!</definedName>
    <definedName name="外部資料_5004" localSheetId="1">財報紅綠燈!#REF!</definedName>
    <definedName name="外部資料_5005" localSheetId="1">財報紅綠燈!#REF!</definedName>
    <definedName name="外部資料_5007" localSheetId="1">財報紅綠燈!#REF!</definedName>
    <definedName name="外部資料_5008" localSheetId="1">財報紅綠燈!#REF!</definedName>
    <definedName name="外部資料_5009" localSheetId="1">財報紅綠燈!#REF!</definedName>
    <definedName name="外部資料_501" localSheetId="8">PKA!#REF!</definedName>
    <definedName name="外部資料_501" localSheetId="9">PKB!#REF!</definedName>
    <definedName name="外部資料_5011" localSheetId="1">財報紅綠燈!#REF!</definedName>
    <definedName name="外部資料_5012" localSheetId="1">財報紅綠燈!#REF!</definedName>
    <definedName name="外部資料_5013" localSheetId="1">財報紅綠燈!#REF!</definedName>
    <definedName name="外部資料_5015" localSheetId="1">財報紅綠燈!#REF!</definedName>
    <definedName name="外部資料_5016" localSheetId="1">財報紅綠燈!#REF!</definedName>
    <definedName name="外部資料_5017" localSheetId="1">財報紅綠燈!#REF!</definedName>
    <definedName name="外部資料_5019" localSheetId="1">財報紅綠燈!#REF!</definedName>
    <definedName name="外部資料_502" localSheetId="8">PKA!#REF!</definedName>
    <definedName name="外部資料_502" localSheetId="9">PKB!#REF!</definedName>
    <definedName name="外部資料_502" localSheetId="1">財報紅綠燈!#REF!</definedName>
    <definedName name="外部資料_5020" localSheetId="1">財報紅綠燈!#REF!</definedName>
    <definedName name="外部資料_5021" localSheetId="1">財報紅綠燈!#REF!</definedName>
    <definedName name="外部資料_5023" localSheetId="1">財報紅綠燈!#REF!</definedName>
    <definedName name="外部資料_5024" localSheetId="1">財報紅綠燈!#REF!</definedName>
    <definedName name="外部資料_5025" localSheetId="1">財報紅綠燈!#REF!</definedName>
    <definedName name="外部資料_5027" localSheetId="1">財報紅綠燈!#REF!</definedName>
    <definedName name="外部資料_5028" localSheetId="1">財報紅綠燈!#REF!</definedName>
    <definedName name="外部資料_5029" localSheetId="1">財報紅綠燈!#REF!</definedName>
    <definedName name="外部資料_503" localSheetId="8">PKA!#REF!</definedName>
    <definedName name="外部資料_503" localSheetId="9">PKB!#REF!</definedName>
    <definedName name="外部資料_503" localSheetId="1">財報紅綠燈!#REF!</definedName>
    <definedName name="外部資料_5031" localSheetId="1">財報紅綠燈!#REF!</definedName>
    <definedName name="外部資料_5032" localSheetId="1">財報紅綠燈!#REF!</definedName>
    <definedName name="外部資料_5033" localSheetId="1">財報紅綠燈!#REF!</definedName>
    <definedName name="外部資料_5035" localSheetId="1">財報紅綠燈!#REF!</definedName>
    <definedName name="外部資料_5036" localSheetId="1">財報紅綠燈!#REF!</definedName>
    <definedName name="外部資料_5037" localSheetId="1">財報紅綠燈!#REF!</definedName>
    <definedName name="外部資料_5039" localSheetId="1">財報紅綠燈!#REF!</definedName>
    <definedName name="外部資料_504" localSheetId="8">PKA!#REF!</definedName>
    <definedName name="外部資料_504" localSheetId="9">PKB!#REF!</definedName>
    <definedName name="外部資料_504" localSheetId="1">財報紅綠燈!#REF!</definedName>
    <definedName name="外部資料_5040" localSheetId="1">財報紅綠燈!#REF!</definedName>
    <definedName name="外部資料_5041" localSheetId="1">財報紅綠燈!#REF!</definedName>
    <definedName name="外部資料_5043" localSheetId="1">財報紅綠燈!#REF!</definedName>
    <definedName name="外部資料_5044" localSheetId="1">財報紅綠燈!#REF!</definedName>
    <definedName name="外部資料_5045" localSheetId="1">財報紅綠燈!#REF!</definedName>
    <definedName name="外部資料_5047" localSheetId="1">財報紅綠燈!#REF!</definedName>
    <definedName name="外部資料_5048" localSheetId="1">財報紅綠燈!#REF!</definedName>
    <definedName name="外部資料_5049" localSheetId="1">財報紅綠燈!#REF!</definedName>
    <definedName name="外部資料_505" localSheetId="8">PKA!#REF!</definedName>
    <definedName name="外部資料_505" localSheetId="9">PKB!#REF!</definedName>
    <definedName name="外部資料_5051" localSheetId="1">財報紅綠燈!#REF!</definedName>
    <definedName name="外部資料_5052" localSheetId="1">財報紅綠燈!#REF!</definedName>
    <definedName name="外部資料_5053" localSheetId="1">財報紅綠燈!#REF!</definedName>
    <definedName name="外部資料_5055" localSheetId="1">財報紅綠燈!#REF!</definedName>
    <definedName name="外部資料_5056" localSheetId="1">財報紅綠燈!#REF!</definedName>
    <definedName name="外部資料_5057" localSheetId="1">財報紅綠燈!#REF!</definedName>
    <definedName name="外部資料_5059" localSheetId="1">財報紅綠燈!#REF!</definedName>
    <definedName name="外部資料_506" localSheetId="8">PKA!#REF!</definedName>
    <definedName name="外部資料_506" localSheetId="9">PKB!#REF!</definedName>
    <definedName name="外部資料_506" localSheetId="1">財報紅綠燈!#REF!</definedName>
    <definedName name="外部資料_5060" localSheetId="1">財報紅綠燈!#REF!</definedName>
    <definedName name="外部資料_5061" localSheetId="1">財報紅綠燈!#REF!</definedName>
    <definedName name="外部資料_5063" localSheetId="1">財報紅綠燈!#REF!</definedName>
    <definedName name="外部資料_5064" localSheetId="1">財報紅綠燈!#REF!</definedName>
    <definedName name="外部資料_5065" localSheetId="1">財報紅綠燈!#REF!</definedName>
    <definedName name="外部資料_5067" localSheetId="1">財報紅綠燈!#REF!</definedName>
    <definedName name="外部資料_5068" localSheetId="1">財報紅綠燈!#REF!</definedName>
    <definedName name="外部資料_5069" localSheetId="1">財報紅綠燈!#REF!</definedName>
    <definedName name="外部資料_507" localSheetId="8">PKA!#REF!</definedName>
    <definedName name="外部資料_507" localSheetId="9">PKB!#REF!</definedName>
    <definedName name="外部資料_507" localSheetId="1">財報紅綠燈!#REF!</definedName>
    <definedName name="外部資料_5071" localSheetId="1">財報紅綠燈!#REF!</definedName>
    <definedName name="外部資料_5072" localSheetId="1">財報紅綠燈!#REF!</definedName>
    <definedName name="外部資料_5073" localSheetId="1">財報紅綠燈!#REF!</definedName>
    <definedName name="外部資料_5075" localSheetId="1">財報紅綠燈!#REF!</definedName>
    <definedName name="外部資料_5076" localSheetId="1">財報紅綠燈!#REF!</definedName>
    <definedName name="外部資料_5077" localSheetId="1">財報紅綠燈!#REF!</definedName>
    <definedName name="外部資料_5079" localSheetId="1">財報紅綠燈!#REF!</definedName>
    <definedName name="外部資料_508" localSheetId="8">PKA!#REF!</definedName>
    <definedName name="外部資料_508" localSheetId="9">PKB!#REF!</definedName>
    <definedName name="外部資料_508" localSheetId="1">財報紅綠燈!#REF!</definedName>
    <definedName name="外部資料_5080" localSheetId="1">財報紅綠燈!#REF!</definedName>
    <definedName name="外部資料_5081" localSheetId="1">財報紅綠燈!#REF!</definedName>
    <definedName name="外部資料_5083" localSheetId="1">財報紅綠燈!#REF!</definedName>
    <definedName name="外部資料_5084" localSheetId="1">財報紅綠燈!#REF!</definedName>
    <definedName name="外部資料_5085" localSheetId="1">財報紅綠燈!#REF!</definedName>
    <definedName name="外部資料_5087" localSheetId="1">財報紅綠燈!#REF!</definedName>
    <definedName name="外部資料_5088" localSheetId="1">財報紅綠燈!#REF!</definedName>
    <definedName name="外部資料_5089" localSheetId="1">財報紅綠燈!#REF!</definedName>
    <definedName name="外部資料_509" localSheetId="8">PKA!#REF!</definedName>
    <definedName name="外部資料_509" localSheetId="9">PKB!#REF!</definedName>
    <definedName name="外部資料_5091" localSheetId="1">財報紅綠燈!#REF!</definedName>
    <definedName name="外部資料_5092" localSheetId="1">財報紅綠燈!#REF!</definedName>
    <definedName name="外部資料_5093" localSheetId="1">財報紅綠燈!#REF!</definedName>
    <definedName name="外部資料_5095" localSheetId="1">財報紅綠燈!#REF!</definedName>
    <definedName name="外部資料_5096" localSheetId="1">財報紅綠燈!#REF!</definedName>
    <definedName name="外部資料_5097" localSheetId="1">財報紅綠燈!#REF!</definedName>
    <definedName name="外部資料_5099" localSheetId="1">財報紅綠燈!#REF!</definedName>
    <definedName name="外部資料_51" localSheetId="8">PKA!#REF!</definedName>
    <definedName name="外部資料_51" localSheetId="9">PKB!#REF!</definedName>
    <definedName name="外部資料_51" localSheetId="10">PKC!#REF!</definedName>
    <definedName name="外部資料_510" localSheetId="8">PKA!#REF!</definedName>
    <definedName name="外部資料_510" localSheetId="9">PKB!#REF!</definedName>
    <definedName name="外部資料_510" localSheetId="1">財報紅綠燈!#REF!</definedName>
    <definedName name="外部資料_5100" localSheetId="1">財報紅綠燈!#REF!</definedName>
    <definedName name="外部資料_5101" localSheetId="1">財報紅綠燈!#REF!</definedName>
    <definedName name="外部資料_5103" localSheetId="1">財報紅綠燈!#REF!</definedName>
    <definedName name="外部資料_5104" localSheetId="1">財報紅綠燈!#REF!</definedName>
    <definedName name="外部資料_5105" localSheetId="1">財報紅綠燈!#REF!</definedName>
    <definedName name="外部資料_5107" localSheetId="1">財報紅綠燈!#REF!</definedName>
    <definedName name="外部資料_5108" localSheetId="1">財報紅綠燈!#REF!</definedName>
    <definedName name="外部資料_5109" localSheetId="1">財報紅綠燈!#REF!</definedName>
    <definedName name="外部資料_511" localSheetId="8">PKA!#REF!</definedName>
    <definedName name="外部資料_511" localSheetId="9">PKB!#REF!</definedName>
    <definedName name="外部資料_511" localSheetId="1">財報紅綠燈!#REF!</definedName>
    <definedName name="外部資料_5111" localSheetId="1">財報紅綠燈!#REF!</definedName>
    <definedName name="外部資料_5112" localSheetId="1">財報紅綠燈!#REF!</definedName>
    <definedName name="外部資料_5113" localSheetId="1">財報紅綠燈!#REF!</definedName>
    <definedName name="外部資料_5115" localSheetId="1">財報紅綠燈!#REF!</definedName>
    <definedName name="外部資料_5116" localSheetId="1">財報紅綠燈!#REF!</definedName>
    <definedName name="外部資料_5117" localSheetId="1">財報紅綠燈!#REF!</definedName>
    <definedName name="外部資料_5119" localSheetId="1">財報紅綠燈!#REF!</definedName>
    <definedName name="外部資料_512" localSheetId="8">PKA!#REF!</definedName>
    <definedName name="外部資料_512" localSheetId="9">PKB!#REF!</definedName>
    <definedName name="外部資料_512" localSheetId="1">財報紅綠燈!#REF!</definedName>
    <definedName name="外部資料_5120" localSheetId="1">財報紅綠燈!#REF!</definedName>
    <definedName name="外部資料_5121" localSheetId="1">財報紅綠燈!#REF!</definedName>
    <definedName name="外部資料_5123" localSheetId="1">財報紅綠燈!#REF!</definedName>
    <definedName name="外部資料_5124" localSheetId="1">財報紅綠燈!#REF!</definedName>
    <definedName name="外部資料_5125" localSheetId="1">財報紅綠燈!#REF!</definedName>
    <definedName name="外部資料_5127" localSheetId="1">財報紅綠燈!#REF!</definedName>
    <definedName name="外部資料_5128" localSheetId="1">財報紅綠燈!#REF!</definedName>
    <definedName name="外部資料_5129" localSheetId="1">財報紅綠燈!#REF!</definedName>
    <definedName name="外部資料_513" localSheetId="8">PKA!#REF!</definedName>
    <definedName name="外部資料_513" localSheetId="9">PKB!#REF!</definedName>
    <definedName name="外部資料_5131" localSheetId="1">財報紅綠燈!#REF!</definedName>
    <definedName name="外部資料_5132" localSheetId="1">財報紅綠燈!#REF!</definedName>
    <definedName name="外部資料_5133" localSheetId="1">財報紅綠燈!#REF!</definedName>
    <definedName name="外部資料_5135" localSheetId="1">財報紅綠燈!#REF!</definedName>
    <definedName name="外部資料_5136" localSheetId="1">財報紅綠燈!#REF!</definedName>
    <definedName name="外部資料_5137" localSheetId="1">財報紅綠燈!#REF!</definedName>
    <definedName name="外部資料_5139" localSheetId="1">財報紅綠燈!#REF!</definedName>
    <definedName name="外部資料_514" localSheetId="8">PKA!#REF!</definedName>
    <definedName name="外部資料_514" localSheetId="9">PKB!#REF!</definedName>
    <definedName name="外部資料_514" localSheetId="1">財報紅綠燈!#REF!</definedName>
    <definedName name="外部資料_5140" localSheetId="1">財報紅綠燈!#REF!</definedName>
    <definedName name="外部資料_5141" localSheetId="1">財報紅綠燈!#REF!</definedName>
    <definedName name="外部資料_5143" localSheetId="1">財報紅綠燈!#REF!</definedName>
    <definedName name="外部資料_5144" localSheetId="1">財報紅綠燈!#REF!</definedName>
    <definedName name="外部資料_5145" localSheetId="1">財報紅綠燈!#REF!</definedName>
    <definedName name="外部資料_5147" localSheetId="1">財報紅綠燈!#REF!</definedName>
    <definedName name="外部資料_5148" localSheetId="1">財報紅綠燈!#REF!</definedName>
    <definedName name="外部資料_5149" localSheetId="1">財報紅綠燈!#REF!</definedName>
    <definedName name="外部資料_515" localSheetId="8">PKA!#REF!</definedName>
    <definedName name="外部資料_515" localSheetId="9">PKB!#REF!</definedName>
    <definedName name="外部資料_515" localSheetId="1">財報紅綠燈!#REF!</definedName>
    <definedName name="外部資料_5151" localSheetId="1">財報紅綠燈!#REF!</definedName>
    <definedName name="外部資料_5152" localSheetId="1">財報紅綠燈!#REF!</definedName>
    <definedName name="外部資料_5153" localSheetId="1">財報紅綠燈!#REF!</definedName>
    <definedName name="外部資料_5155" localSheetId="1">財報紅綠燈!#REF!</definedName>
    <definedName name="外部資料_5156" localSheetId="1">財報紅綠燈!#REF!</definedName>
    <definedName name="外部資料_5157" localSheetId="1">財報紅綠燈!#REF!</definedName>
    <definedName name="外部資料_5159" localSheetId="1">財報紅綠燈!#REF!</definedName>
    <definedName name="外部資料_516" localSheetId="8">PKA!#REF!</definedName>
    <definedName name="外部資料_516" localSheetId="9">PKB!#REF!</definedName>
    <definedName name="外部資料_5160" localSheetId="1">財報紅綠燈!#REF!</definedName>
    <definedName name="外部資料_5161" localSheetId="1">財報紅綠燈!#REF!</definedName>
    <definedName name="外部資料_5163" localSheetId="1">財報紅綠燈!#REF!</definedName>
    <definedName name="外部資料_5164" localSheetId="1">財報紅綠燈!#REF!</definedName>
    <definedName name="外部資料_5165" localSheetId="1">財報紅綠燈!#REF!</definedName>
    <definedName name="外部資料_5167" localSheetId="1">財報紅綠燈!#REF!</definedName>
    <definedName name="外部資料_5168" localSheetId="1">財報紅綠燈!#REF!</definedName>
    <definedName name="外部資料_5169" localSheetId="1">財報紅綠燈!#REF!</definedName>
    <definedName name="外部資料_517" localSheetId="8">PKA!#REF!</definedName>
    <definedName name="外部資料_517" localSheetId="9">PKB!#REF!</definedName>
    <definedName name="外部資料_517" localSheetId="1">財報紅綠燈!#REF!</definedName>
    <definedName name="外部資料_5171" localSheetId="1">財報紅綠燈!#REF!</definedName>
    <definedName name="外部資料_5172" localSheetId="1">財報紅綠燈!#REF!</definedName>
    <definedName name="外部資料_5173" localSheetId="1">財報紅綠燈!#REF!</definedName>
    <definedName name="外部資料_5175" localSheetId="1">財報紅綠燈!#REF!</definedName>
    <definedName name="外部資料_5176" localSheetId="1">財報紅綠燈!#REF!</definedName>
    <definedName name="外部資料_5177" localSheetId="1">財報紅綠燈!#REF!</definedName>
    <definedName name="外部資料_5179" localSheetId="1">財報紅綠燈!#REF!</definedName>
    <definedName name="外部資料_518" localSheetId="8">PKA!#REF!</definedName>
    <definedName name="外部資料_518" localSheetId="9">PKB!#REF!</definedName>
    <definedName name="外部資料_518" localSheetId="1">財報紅綠燈!#REF!</definedName>
    <definedName name="外部資料_5180" localSheetId="1">財報紅綠燈!#REF!</definedName>
    <definedName name="外部資料_5181" localSheetId="1">財報紅綠燈!#REF!</definedName>
    <definedName name="外部資料_5183" localSheetId="1">財報紅綠燈!#REF!</definedName>
    <definedName name="外部資料_5184" localSheetId="1">財報紅綠燈!#REF!</definedName>
    <definedName name="外部資料_5185" localSheetId="1">財報紅綠燈!#REF!</definedName>
    <definedName name="外部資料_5187" localSheetId="1">財報紅綠燈!#REF!</definedName>
    <definedName name="外部資料_5188" localSheetId="1">財報紅綠燈!#REF!</definedName>
    <definedName name="外部資料_5189" localSheetId="1">財報紅綠燈!#REF!</definedName>
    <definedName name="外部資料_519" localSheetId="8">PKA!#REF!</definedName>
    <definedName name="外部資料_519" localSheetId="9">PKB!#REF!</definedName>
    <definedName name="外部資料_519" localSheetId="1">財報紅綠燈!#REF!</definedName>
    <definedName name="外部資料_5191" localSheetId="1">財報紅綠燈!#REF!</definedName>
    <definedName name="外部資料_5192" localSheetId="1">財報紅綠燈!#REF!</definedName>
    <definedName name="外部資料_5193" localSheetId="1">財報紅綠燈!#REF!</definedName>
    <definedName name="外部資料_5195" localSheetId="1">財報紅綠燈!#REF!</definedName>
    <definedName name="外部資料_5196" localSheetId="1">財報紅綠燈!#REF!</definedName>
    <definedName name="外部資料_5197" localSheetId="1">財報紅綠燈!#REF!</definedName>
    <definedName name="外部資料_5199" localSheetId="1">財報紅綠燈!#REF!</definedName>
    <definedName name="外部資料_52" localSheetId="8">PKA!#REF!</definedName>
    <definedName name="外部資料_52" localSheetId="9">PKB!#REF!</definedName>
    <definedName name="外部資料_52" localSheetId="10">PKC!#REF!</definedName>
    <definedName name="外部資料_52" localSheetId="1">財報紅綠燈!#REF!</definedName>
    <definedName name="外部資料_520" localSheetId="8">PKA!#REF!</definedName>
    <definedName name="外部資料_520" localSheetId="9">PKB!#REF!</definedName>
    <definedName name="外部資料_5200" localSheetId="1">財報紅綠燈!#REF!</definedName>
    <definedName name="外部資料_5201" localSheetId="1">財報紅綠燈!#REF!</definedName>
    <definedName name="外部資料_5203" localSheetId="1">財報紅綠燈!#REF!</definedName>
    <definedName name="外部資料_5204" localSheetId="1">財報紅綠燈!#REF!</definedName>
    <definedName name="外部資料_5205" localSheetId="1">財報紅綠燈!#REF!</definedName>
    <definedName name="外部資料_5207" localSheetId="1">財報紅綠燈!#REF!</definedName>
    <definedName name="外部資料_5208" localSheetId="1">財報紅綠燈!#REF!</definedName>
    <definedName name="外部資料_5209" localSheetId="1">財報紅綠燈!#REF!</definedName>
    <definedName name="外部資料_521" localSheetId="8">PKA!#REF!</definedName>
    <definedName name="外部資料_521" localSheetId="9">PKB!#REF!</definedName>
    <definedName name="外部資料_521" localSheetId="1">財報紅綠燈!#REF!</definedName>
    <definedName name="外部資料_5211" localSheetId="1">財報紅綠燈!#REF!</definedName>
    <definedName name="外部資料_5212" localSheetId="1">財報紅綠燈!#REF!</definedName>
    <definedName name="外部資料_5213" localSheetId="1">財報紅綠燈!#REF!</definedName>
    <definedName name="外部資料_5215" localSheetId="1">財報紅綠燈!#REF!</definedName>
    <definedName name="外部資料_5216" localSheetId="1">財報紅綠燈!#REF!</definedName>
    <definedName name="外部資料_5217" localSheetId="1">財報紅綠燈!#REF!</definedName>
    <definedName name="外部資料_5219" localSheetId="1">財報紅綠燈!#REF!</definedName>
    <definedName name="外部資料_522" localSheetId="8">PKA!#REF!</definedName>
    <definedName name="外部資料_522" localSheetId="9">PKB!#REF!</definedName>
    <definedName name="外部資料_522" localSheetId="1">財報紅綠燈!#REF!</definedName>
    <definedName name="外部資料_5220" localSheetId="1">財報紅綠燈!#REF!</definedName>
    <definedName name="外部資料_5221" localSheetId="1">財報紅綠燈!#REF!</definedName>
    <definedName name="外部資料_5223" localSheetId="1">財報紅綠燈!#REF!</definedName>
    <definedName name="外部資料_5224" localSheetId="1">財報紅綠燈!#REF!</definedName>
    <definedName name="外部資料_5225" localSheetId="1">財報紅綠燈!#REF!</definedName>
    <definedName name="外部資料_5227" localSheetId="1">財報紅綠燈!#REF!</definedName>
    <definedName name="外部資料_5228" localSheetId="1">財報紅綠燈!#REF!</definedName>
    <definedName name="外部資料_5229" localSheetId="1">財報紅綠燈!#REF!</definedName>
    <definedName name="外部資料_523" localSheetId="8">PKA!#REF!</definedName>
    <definedName name="外部資料_523" localSheetId="9">PKB!#REF!</definedName>
    <definedName name="外部資料_523" localSheetId="1">財報紅綠燈!#REF!</definedName>
    <definedName name="外部資料_5231" localSheetId="1">財報紅綠燈!#REF!</definedName>
    <definedName name="外部資料_5232" localSheetId="1">財報紅綠燈!#REF!</definedName>
    <definedName name="外部資料_5233" localSheetId="1">財報紅綠燈!#REF!</definedName>
    <definedName name="外部資料_5235" localSheetId="1">財報紅綠燈!#REF!</definedName>
    <definedName name="外部資料_5236" localSheetId="1">財報紅綠燈!#REF!</definedName>
    <definedName name="外部資料_5237" localSheetId="1">財報紅綠燈!#REF!</definedName>
    <definedName name="外部資料_5239" localSheetId="1">財報紅綠燈!#REF!</definedName>
    <definedName name="外部資料_524" localSheetId="8">PKA!#REF!</definedName>
    <definedName name="外部資料_524" localSheetId="9">PKB!#REF!</definedName>
    <definedName name="外部資料_5240" localSheetId="1">財報紅綠燈!#REF!</definedName>
    <definedName name="外部資料_5241" localSheetId="1">財報紅綠燈!#REF!</definedName>
    <definedName name="外部資料_5243" localSheetId="1">財報紅綠燈!#REF!</definedName>
    <definedName name="外部資料_5244" localSheetId="1">財報紅綠燈!#REF!</definedName>
    <definedName name="外部資料_5246" localSheetId="1">財報紅綠燈!#REF!</definedName>
    <definedName name="外部資料_5247" localSheetId="1">財報紅綠燈!#REF!</definedName>
    <definedName name="外部資料_5248" localSheetId="1">財報紅綠燈!#REF!</definedName>
    <definedName name="外部資料_525" localSheetId="8">PKA!#REF!</definedName>
    <definedName name="外部資料_525" localSheetId="9">PKB!#REF!</definedName>
    <definedName name="外部資料_525" localSheetId="1">財報紅綠燈!#REF!</definedName>
    <definedName name="外部資料_5250" localSheetId="1">財報紅綠燈!#REF!</definedName>
    <definedName name="外部資料_5251" localSheetId="1">財報紅綠燈!#REF!</definedName>
    <definedName name="外部資料_5252" localSheetId="1">財報紅綠燈!#REF!</definedName>
    <definedName name="外部資料_5254" localSheetId="1">財報紅綠燈!#REF!</definedName>
    <definedName name="外部資料_5255" localSheetId="1">財報紅綠燈!#REF!</definedName>
    <definedName name="外部資料_5256" localSheetId="1">財報紅綠燈!#REF!</definedName>
    <definedName name="外部資料_5258" localSheetId="1">財報紅綠燈!#REF!</definedName>
    <definedName name="外部資料_5259" localSheetId="1">財報紅綠燈!#REF!</definedName>
    <definedName name="外部資料_526" localSheetId="8">PKA!#REF!</definedName>
    <definedName name="外部資料_526" localSheetId="9">PKB!#REF!</definedName>
    <definedName name="外部資料_526" localSheetId="1">財報紅綠燈!#REF!</definedName>
    <definedName name="外部資料_5260" localSheetId="1">財報紅綠燈!#REF!</definedName>
    <definedName name="外部資料_5262" localSheetId="1">財報紅綠燈!#REF!</definedName>
    <definedName name="外部資料_5263" localSheetId="1">財報紅綠燈!#REF!</definedName>
    <definedName name="外部資料_5264" localSheetId="1">財報紅綠燈!#REF!</definedName>
    <definedName name="外部資料_5266" localSheetId="1">財報紅綠燈!#REF!</definedName>
    <definedName name="外部資料_5267" localSheetId="1">財報紅綠燈!#REF!</definedName>
    <definedName name="外部資料_5268" localSheetId="1">財報紅綠燈!#REF!</definedName>
    <definedName name="外部資料_527" localSheetId="8">PKA!#REF!</definedName>
    <definedName name="外部資料_527" localSheetId="9">PKB!#REF!</definedName>
    <definedName name="外部資料_5270" localSheetId="1">財報紅綠燈!#REF!</definedName>
    <definedName name="外部資料_5271" localSheetId="1">財報紅綠燈!#REF!</definedName>
    <definedName name="外部資料_5272" localSheetId="1">財報紅綠燈!#REF!</definedName>
    <definedName name="外部資料_5274" localSheetId="1">財報紅綠燈!#REF!</definedName>
    <definedName name="外部資料_5275" localSheetId="1">財報紅綠燈!#REF!</definedName>
    <definedName name="外部資料_5276" localSheetId="1">財報紅綠燈!#REF!</definedName>
    <definedName name="外部資料_5278" localSheetId="1">財報紅綠燈!#REF!</definedName>
    <definedName name="外部資料_5279" localSheetId="1">財報紅綠燈!#REF!</definedName>
    <definedName name="外部資料_528" localSheetId="8">PKA!#REF!</definedName>
    <definedName name="外部資料_528" localSheetId="9">PKB!#REF!</definedName>
    <definedName name="外部資料_528" localSheetId="1">財報紅綠燈!#REF!</definedName>
    <definedName name="外部資料_5280" localSheetId="1">財報紅綠燈!#REF!</definedName>
    <definedName name="外部資料_5282" localSheetId="1">財報紅綠燈!#REF!</definedName>
    <definedName name="外部資料_5283" localSheetId="1">財報紅綠燈!#REF!</definedName>
    <definedName name="外部資料_5284" localSheetId="1">財報紅綠燈!#REF!</definedName>
    <definedName name="外部資料_5286" localSheetId="1">財報紅綠燈!#REF!</definedName>
    <definedName name="外部資料_5287" localSheetId="1">財報紅綠燈!#REF!</definedName>
    <definedName name="外部資料_5288" localSheetId="1">財報紅綠燈!#REF!</definedName>
    <definedName name="外部資料_529" localSheetId="8">PKA!#REF!</definedName>
    <definedName name="外部資料_529" localSheetId="9">PKB!#REF!</definedName>
    <definedName name="外部資料_529" localSheetId="1">財報紅綠燈!#REF!</definedName>
    <definedName name="外部資料_5290" localSheetId="1">財報紅綠燈!#REF!</definedName>
    <definedName name="外部資料_5291" localSheetId="1">財報紅綠燈!#REF!</definedName>
    <definedName name="外部資料_5292" localSheetId="1">財報紅綠燈!#REF!</definedName>
    <definedName name="外部資料_5294" localSheetId="1">財報紅綠燈!#REF!</definedName>
    <definedName name="外部資料_5295" localSheetId="1">財報紅綠燈!#REF!</definedName>
    <definedName name="外部資料_5296" localSheetId="1">財報紅綠燈!#REF!</definedName>
    <definedName name="外部資料_5298" localSheetId="1">財報紅綠燈!#REF!</definedName>
    <definedName name="外部資料_5299" localSheetId="1">財報紅綠燈!#REF!</definedName>
    <definedName name="外部資料_53" localSheetId="8">PKA!#REF!</definedName>
    <definedName name="外部資料_53" localSheetId="9">PKB!#REF!</definedName>
    <definedName name="外部資料_53" localSheetId="10">PKC!#REF!</definedName>
    <definedName name="外部資料_53" localSheetId="1">財報紅綠燈!#REF!</definedName>
    <definedName name="外部資料_530" localSheetId="8">PKA!#REF!</definedName>
    <definedName name="外部資料_530" localSheetId="9">PKB!#REF!</definedName>
    <definedName name="外部資料_530" localSheetId="1">財報紅綠燈!#REF!</definedName>
    <definedName name="外部資料_5300" localSheetId="1">財報紅綠燈!#REF!</definedName>
    <definedName name="外部資料_5302" localSheetId="1">財報紅綠燈!#REF!</definedName>
    <definedName name="外部資料_5303" localSheetId="1">財報紅綠燈!#REF!</definedName>
    <definedName name="外部資料_5304" localSheetId="1">財報紅綠燈!#REF!</definedName>
    <definedName name="外部資料_5306" localSheetId="1">財報紅綠燈!#REF!</definedName>
    <definedName name="外部資料_5307" localSheetId="1">財報紅綠燈!#REF!</definedName>
    <definedName name="外部資料_5308" localSheetId="1">財報紅綠燈!#REF!</definedName>
    <definedName name="外部資料_531" localSheetId="8">PKA!#REF!</definedName>
    <definedName name="外部資料_531" localSheetId="9">PKB!#REF!</definedName>
    <definedName name="外部資料_5310" localSheetId="1">財報紅綠燈!#REF!</definedName>
    <definedName name="外部資料_5311" localSheetId="1">財報紅綠燈!#REF!</definedName>
    <definedName name="外部資料_5312" localSheetId="1">財報紅綠燈!#REF!</definedName>
    <definedName name="外部資料_5314" localSheetId="1">財報紅綠燈!#REF!</definedName>
    <definedName name="外部資料_5315" localSheetId="1">財報紅綠燈!#REF!</definedName>
    <definedName name="外部資料_5316" localSheetId="1">財報紅綠燈!#REF!</definedName>
    <definedName name="外部資料_5318" localSheetId="1">財報紅綠燈!#REF!</definedName>
    <definedName name="外部資料_5319" localSheetId="1">財報紅綠燈!#REF!</definedName>
    <definedName name="外部資料_532" localSheetId="8">PKA!#REF!</definedName>
    <definedName name="外部資料_532" localSheetId="9">PKB!#REF!</definedName>
    <definedName name="外部資料_532" localSheetId="1">財報紅綠燈!#REF!</definedName>
    <definedName name="外部資料_5320" localSheetId="1">財報紅綠燈!#REF!</definedName>
    <definedName name="外部資料_5322" localSheetId="1">財報紅綠燈!#REF!</definedName>
    <definedName name="外部資料_5323" localSheetId="1">財報紅綠燈!#REF!</definedName>
    <definedName name="外部資料_5324" localSheetId="1">財報紅綠燈!#REF!</definedName>
    <definedName name="外部資料_5326" localSheetId="1">財報紅綠燈!#REF!</definedName>
    <definedName name="外部資料_5327" localSheetId="1">財報紅綠燈!#REF!</definedName>
    <definedName name="外部資料_5328" localSheetId="1">財報紅綠燈!#REF!</definedName>
    <definedName name="外部資料_533" localSheetId="8">PKA!#REF!</definedName>
    <definedName name="外部資料_533" localSheetId="9">PKB!#REF!</definedName>
    <definedName name="外部資料_533" localSheetId="1">財報紅綠燈!#REF!</definedName>
    <definedName name="外部資料_5330" localSheetId="1">財報紅綠燈!#REF!</definedName>
    <definedName name="外部資料_5331" localSheetId="1">財報紅綠燈!#REF!</definedName>
    <definedName name="外部資料_5332" localSheetId="1">財報紅綠燈!#REF!</definedName>
    <definedName name="外部資料_5334" localSheetId="1">財報紅綠燈!#REF!</definedName>
    <definedName name="外部資料_5335" localSheetId="1">財報紅綠燈!#REF!</definedName>
    <definedName name="外部資料_5336" localSheetId="1">財報紅綠燈!#REF!</definedName>
    <definedName name="外部資料_5338" localSheetId="1">財報紅綠燈!#REF!</definedName>
    <definedName name="外部資料_5339" localSheetId="1">財報紅綠燈!#REF!</definedName>
    <definedName name="外部資料_534" localSheetId="8">PKA!#REF!</definedName>
    <definedName name="外部資料_534" localSheetId="9">PKB!#REF!</definedName>
    <definedName name="外部資料_534" localSheetId="1">財報紅綠燈!#REF!</definedName>
    <definedName name="外部資料_5340" localSheetId="1">財報紅綠燈!#REF!</definedName>
    <definedName name="外部資料_5342" localSheetId="1">財報紅綠燈!#REF!</definedName>
    <definedName name="外部資料_5343" localSheetId="1">財報紅綠燈!#REF!</definedName>
    <definedName name="外部資料_5344" localSheetId="1">財報紅綠燈!#REF!</definedName>
    <definedName name="外部資料_5346" localSheetId="1">財報紅綠燈!#REF!</definedName>
    <definedName name="外部資料_5347" localSheetId="1">財報紅綠燈!#REF!</definedName>
    <definedName name="外部資料_5348" localSheetId="1">財報紅綠燈!#REF!</definedName>
    <definedName name="外部資料_535" localSheetId="8">PKA!#REF!</definedName>
    <definedName name="外部資料_535" localSheetId="9">PKB!#REF!</definedName>
    <definedName name="外部資料_5350" localSheetId="1">財報紅綠燈!#REF!</definedName>
    <definedName name="外部資料_5351" localSheetId="1">財報紅綠燈!#REF!</definedName>
    <definedName name="外部資料_5352" localSheetId="1">財報紅綠燈!#REF!</definedName>
    <definedName name="外部資料_5354" localSheetId="1">財報紅綠燈!#REF!</definedName>
    <definedName name="外部資料_5355" localSheetId="1">財報紅綠燈!#REF!</definedName>
    <definedName name="外部資料_5356" localSheetId="1">財報紅綠燈!#REF!</definedName>
    <definedName name="外部資料_5358" localSheetId="1">財報紅綠燈!#REF!</definedName>
    <definedName name="外部資料_5359" localSheetId="1">財報紅綠燈!#REF!</definedName>
    <definedName name="外部資料_536" localSheetId="8">PKA!#REF!</definedName>
    <definedName name="外部資料_536" localSheetId="9">PKB!#REF!</definedName>
    <definedName name="外部資料_536" localSheetId="1">財報紅綠燈!#REF!</definedName>
    <definedName name="外部資料_5360" localSheetId="1">財報紅綠燈!#REF!</definedName>
    <definedName name="外部資料_5362" localSheetId="1">財報紅綠燈!#REF!</definedName>
    <definedName name="外部資料_5363" localSheetId="1">財報紅綠燈!#REF!</definedName>
    <definedName name="外部資料_5364" localSheetId="1">財報紅綠燈!#REF!</definedName>
    <definedName name="外部資料_5366" localSheetId="1">財報紅綠燈!#REF!</definedName>
    <definedName name="外部資料_5367" localSheetId="1">財報紅綠燈!#REF!</definedName>
    <definedName name="外部資料_5368" localSheetId="1">財報紅綠燈!#REF!</definedName>
    <definedName name="外部資料_537" localSheetId="8">PKA!#REF!</definedName>
    <definedName name="外部資料_537" localSheetId="9">PKB!#REF!</definedName>
    <definedName name="外部資料_537" localSheetId="1">財報紅綠燈!#REF!</definedName>
    <definedName name="外部資料_5370" localSheetId="1">財報紅綠燈!#REF!</definedName>
    <definedName name="外部資料_5371" localSheetId="1">財報紅綠燈!#REF!</definedName>
    <definedName name="外部資料_5372" localSheetId="1">財報紅綠燈!#REF!</definedName>
    <definedName name="外部資料_5374" localSheetId="1">財報紅綠燈!#REF!</definedName>
    <definedName name="外部資料_5375" localSheetId="1">財報紅綠燈!#REF!</definedName>
    <definedName name="外部資料_5376" localSheetId="1">財報紅綠燈!#REF!</definedName>
    <definedName name="外部資料_5378" localSheetId="1">財報紅綠燈!#REF!</definedName>
    <definedName name="外部資料_5379" localSheetId="1">財報紅綠燈!#REF!</definedName>
    <definedName name="外部資料_538" localSheetId="8">PKA!#REF!</definedName>
    <definedName name="外部資料_538" localSheetId="9">PKB!#REF!</definedName>
    <definedName name="外部資料_538" localSheetId="1">財報紅綠燈!#REF!</definedName>
    <definedName name="外部資料_5380" localSheetId="1">財報紅綠燈!#REF!</definedName>
    <definedName name="外部資料_5382" localSheetId="1">財報紅綠燈!#REF!</definedName>
    <definedName name="外部資料_5383" localSheetId="1">財報紅綠燈!#REF!</definedName>
    <definedName name="外部資料_5384" localSheetId="1">財報紅綠燈!#REF!</definedName>
    <definedName name="外部資料_5386" localSheetId="1">財報紅綠燈!#REF!</definedName>
    <definedName name="外部資料_5387" localSheetId="1">財報紅綠燈!#REF!</definedName>
    <definedName name="外部資料_5388" localSheetId="1">財報紅綠燈!#REF!</definedName>
    <definedName name="外部資料_539" localSheetId="8">PKA!#REF!</definedName>
    <definedName name="外部資料_539" localSheetId="9">PKB!#REF!</definedName>
    <definedName name="外部資料_5390" localSheetId="1">財報紅綠燈!#REF!</definedName>
    <definedName name="外部資料_5391" localSheetId="1">財報紅綠燈!#REF!</definedName>
    <definedName name="外部資料_5392" localSheetId="1">財報紅綠燈!#REF!</definedName>
    <definedName name="外部資料_5394" localSheetId="1">財報紅綠燈!#REF!</definedName>
    <definedName name="外部資料_5395" localSheetId="1">財報紅綠燈!#REF!</definedName>
    <definedName name="外部資料_5396" localSheetId="1">財報紅綠燈!#REF!</definedName>
    <definedName name="外部資料_5398" localSheetId="1">財報紅綠燈!#REF!</definedName>
    <definedName name="外部資料_5399" localSheetId="1">財報紅綠燈!#REF!</definedName>
    <definedName name="外部資料_54" localSheetId="8">PKA!#REF!</definedName>
    <definedName name="外部資料_54" localSheetId="9">PKB!#REF!</definedName>
    <definedName name="外部資料_54" localSheetId="10">PKC!#REF!</definedName>
    <definedName name="外部資料_54" localSheetId="1">財報紅綠燈!#REF!</definedName>
    <definedName name="外部資料_540" localSheetId="8">PKA!#REF!</definedName>
    <definedName name="外部資料_540" localSheetId="9">PKB!#REF!</definedName>
    <definedName name="外部資料_540" localSheetId="1">財報紅綠燈!#REF!</definedName>
    <definedName name="外部資料_5400" localSheetId="1">財報紅綠燈!#REF!</definedName>
    <definedName name="外部資料_5402" localSheetId="1">財報紅綠燈!#REF!</definedName>
    <definedName name="外部資料_5403" localSheetId="1">財報紅綠燈!#REF!</definedName>
    <definedName name="外部資料_5404" localSheetId="1">財報紅綠燈!#REF!</definedName>
    <definedName name="外部資料_5406" localSheetId="1">財報紅綠燈!#REF!</definedName>
    <definedName name="外部資料_5407" localSheetId="1">財報紅綠燈!#REF!</definedName>
    <definedName name="外部資料_5408" localSheetId="1">財報紅綠燈!#REF!</definedName>
    <definedName name="外部資料_541" localSheetId="8">PKA!#REF!</definedName>
    <definedName name="外部資料_541" localSheetId="9">PKB!#REF!</definedName>
    <definedName name="外部資料_541" localSheetId="1">財報紅綠燈!#REF!</definedName>
    <definedName name="外部資料_5410" localSheetId="1">財報紅綠燈!#REF!</definedName>
    <definedName name="外部資料_5411" localSheetId="1">財報紅綠燈!#REF!</definedName>
    <definedName name="外部資料_5412" localSheetId="1">財報紅綠燈!#REF!</definedName>
    <definedName name="外部資料_5414" localSheetId="1">財報紅綠燈!#REF!</definedName>
    <definedName name="外部資料_5415" localSheetId="1">財報紅綠燈!#REF!</definedName>
    <definedName name="外部資料_5416" localSheetId="1">財報紅綠燈!#REF!</definedName>
    <definedName name="外部資料_5418" localSheetId="1">財報紅綠燈!#REF!</definedName>
    <definedName name="外部資料_5419" localSheetId="1">財報紅綠燈!#REF!</definedName>
    <definedName name="外部資料_542" localSheetId="8">PKA!#REF!</definedName>
    <definedName name="外部資料_542" localSheetId="9">PKB!#REF!</definedName>
    <definedName name="外部資料_542" localSheetId="1">財報紅綠燈!#REF!</definedName>
    <definedName name="外部資料_5420" localSheetId="1">財報紅綠燈!#REF!</definedName>
    <definedName name="外部資料_5422" localSheetId="1">財報紅綠燈!#REF!</definedName>
    <definedName name="外部資料_5423" localSheetId="1">財報紅綠燈!#REF!</definedName>
    <definedName name="外部資料_5425" localSheetId="1">財報紅綠燈!#REF!</definedName>
    <definedName name="外部資料_5426" localSheetId="1">財報紅綠燈!#REF!</definedName>
    <definedName name="外部資料_5428" localSheetId="1">財報紅綠燈!#REF!</definedName>
    <definedName name="外部資料_5429" localSheetId="1">財報紅綠燈!#REF!</definedName>
    <definedName name="外部資料_543" localSheetId="8">PKA!#REF!</definedName>
    <definedName name="外部資料_543" localSheetId="9">PKB!#REF!</definedName>
    <definedName name="外部資料_5430" localSheetId="1">財報紅綠燈!#REF!</definedName>
    <definedName name="外部資料_5432" localSheetId="1">財報紅綠燈!#REF!</definedName>
    <definedName name="外部資料_5433" localSheetId="1">財報紅綠燈!#REF!</definedName>
    <definedName name="外部資料_5434" localSheetId="1">財報紅綠燈!#REF!</definedName>
    <definedName name="外部資料_5436" localSheetId="1">財報紅綠燈!#REF!</definedName>
    <definedName name="外部資料_5437" localSheetId="1">財報紅綠燈!#REF!</definedName>
    <definedName name="外部資料_5438" localSheetId="1">財報紅綠燈!#REF!</definedName>
    <definedName name="外部資料_544" localSheetId="8">PKA!#REF!</definedName>
    <definedName name="外部資料_544" localSheetId="9">PKB!#REF!</definedName>
    <definedName name="外部資料_544" localSheetId="1">財報紅綠燈!#REF!</definedName>
    <definedName name="外部資料_5440" localSheetId="1">財報紅綠燈!#REF!</definedName>
    <definedName name="外部資料_5441" localSheetId="1">財報紅綠燈!#REF!</definedName>
    <definedName name="外部資料_5442" localSheetId="1">財報紅綠燈!#REF!</definedName>
    <definedName name="外部資料_5444" localSheetId="1">財報紅綠燈!#REF!</definedName>
    <definedName name="外部資料_5445" localSheetId="1">財報紅綠燈!#REF!</definedName>
    <definedName name="外部資料_5446" localSheetId="1">財報紅綠燈!#REF!</definedName>
    <definedName name="外部資料_5448" localSheetId="1">財報紅綠燈!#REF!</definedName>
    <definedName name="外部資料_5449" localSheetId="1">財報紅綠燈!#REF!</definedName>
    <definedName name="外部資料_545" localSheetId="8">PKA!#REF!</definedName>
    <definedName name="外部資料_545" localSheetId="9">PKB!#REF!</definedName>
    <definedName name="外部資料_545" localSheetId="1">財報紅綠燈!#REF!</definedName>
    <definedName name="外部資料_5450" localSheetId="1">財報紅綠燈!#REF!</definedName>
    <definedName name="外部資料_5452" localSheetId="1">財報紅綠燈!#REF!</definedName>
    <definedName name="外部資料_5453" localSheetId="1">財報紅綠燈!#REF!</definedName>
    <definedName name="外部資料_5454" localSheetId="1">財報紅綠燈!#REF!</definedName>
    <definedName name="外部資料_5456" localSheetId="1">財報紅綠燈!#REF!</definedName>
    <definedName name="外部資料_5457" localSheetId="1">財報紅綠燈!#REF!</definedName>
    <definedName name="外部資料_5458" localSheetId="1">財報紅綠燈!#REF!</definedName>
    <definedName name="外部資料_546" localSheetId="8">PKA!#REF!</definedName>
    <definedName name="外部資料_546" localSheetId="9">PKB!#REF!</definedName>
    <definedName name="外部資料_546" localSheetId="1">財報紅綠燈!#REF!</definedName>
    <definedName name="外部資料_5460" localSheetId="1">財報紅綠燈!#REF!</definedName>
    <definedName name="外部資料_5461" localSheetId="1">財報紅綠燈!#REF!</definedName>
    <definedName name="外部資料_5462" localSheetId="1">財報紅綠燈!#REF!</definedName>
    <definedName name="外部資料_5464" localSheetId="1">財報紅綠燈!#REF!</definedName>
    <definedName name="外部資料_5465" localSheetId="1">財報紅綠燈!#REF!</definedName>
    <definedName name="外部資料_5466" localSheetId="1">財報紅綠燈!#REF!</definedName>
    <definedName name="外部資料_5468" localSheetId="1">財報紅綠燈!#REF!</definedName>
    <definedName name="外部資料_5469" localSheetId="1">財報紅綠燈!#REF!</definedName>
    <definedName name="外部資料_547" localSheetId="8">PKA!#REF!</definedName>
    <definedName name="外部資料_547" localSheetId="9">PKB!#REF!</definedName>
    <definedName name="外部資料_5470" localSheetId="1">財報紅綠燈!#REF!</definedName>
    <definedName name="外部資料_5472" localSheetId="1">財報紅綠燈!#REF!</definedName>
    <definedName name="外部資料_5473" localSheetId="1">財報紅綠燈!#REF!</definedName>
    <definedName name="外部資料_5474" localSheetId="1">財報紅綠燈!#REF!</definedName>
    <definedName name="外部資料_5476" localSheetId="1">財報紅綠燈!#REF!</definedName>
    <definedName name="外部資料_5477" localSheetId="1">財報紅綠燈!#REF!</definedName>
    <definedName name="外部資料_5478" localSheetId="1">財報紅綠燈!#REF!</definedName>
    <definedName name="外部資料_548" localSheetId="8">PKA!#REF!</definedName>
    <definedName name="外部資料_548" localSheetId="9">PKB!#REF!</definedName>
    <definedName name="外部資料_548" localSheetId="1">財報紅綠燈!#REF!</definedName>
    <definedName name="外部資料_5480" localSheetId="1">財報紅綠燈!#REF!</definedName>
    <definedName name="外部資料_5481" localSheetId="1">財報紅綠燈!#REF!</definedName>
    <definedName name="外部資料_5482" localSheetId="1">財報紅綠燈!#REF!</definedName>
    <definedName name="外部資料_5484" localSheetId="1">財報紅綠燈!#REF!</definedName>
    <definedName name="外部資料_5485" localSheetId="1">財報紅綠燈!#REF!</definedName>
    <definedName name="外部資料_5486" localSheetId="1">財報紅綠燈!#REF!</definedName>
    <definedName name="外部資料_5488" localSheetId="1">財報紅綠燈!#REF!</definedName>
    <definedName name="外部資料_5489" localSheetId="1">財報紅綠燈!#REF!</definedName>
    <definedName name="外部資料_549" localSheetId="8">PKA!#REF!</definedName>
    <definedName name="外部資料_549" localSheetId="9">PKB!#REF!</definedName>
    <definedName name="外部資料_549" localSheetId="1">財報紅綠燈!#REF!</definedName>
    <definedName name="外部資料_5491" localSheetId="1">財報紅綠燈!#REF!</definedName>
    <definedName name="外部資料_5492" localSheetId="1">財報紅綠燈!#REF!</definedName>
    <definedName name="外部資料_5493" localSheetId="1">財報紅綠燈!#REF!</definedName>
    <definedName name="外部資料_5495" localSheetId="1">財報紅綠燈!#REF!</definedName>
    <definedName name="外部資料_5496" localSheetId="1">財報紅綠燈!#REF!</definedName>
    <definedName name="外部資料_5497" localSheetId="1">財報紅綠燈!#REF!</definedName>
    <definedName name="外部資料_5499" localSheetId="1">財報紅綠燈!#REF!</definedName>
    <definedName name="外部資料_55" localSheetId="8">PKA!#REF!</definedName>
    <definedName name="外部資料_55" localSheetId="9">PKB!#REF!</definedName>
    <definedName name="外部資料_55" localSheetId="10">PKC!#REF!</definedName>
    <definedName name="外部資料_550" localSheetId="8">PKA!#REF!</definedName>
    <definedName name="外部資料_550" localSheetId="9">PKB!#REF!</definedName>
    <definedName name="外部資料_550" localSheetId="1">財報紅綠燈!#REF!</definedName>
    <definedName name="外部資料_5500" localSheetId="1">財報紅綠燈!#REF!</definedName>
    <definedName name="外部資料_5501" localSheetId="1">財報紅綠燈!#REF!</definedName>
    <definedName name="外部資料_5503" localSheetId="1">財報紅綠燈!#REF!</definedName>
    <definedName name="外部資料_5504" localSheetId="1">財報紅綠燈!#REF!</definedName>
    <definedName name="外部資料_5505" localSheetId="1">財報紅綠燈!#REF!</definedName>
    <definedName name="外部資料_5507" localSheetId="1">財報紅綠燈!#REF!</definedName>
    <definedName name="外部資料_5508" localSheetId="1">財報紅綠燈!#REF!</definedName>
    <definedName name="外部資料_5509" localSheetId="1">財報紅綠燈!#REF!</definedName>
    <definedName name="外部資料_551" localSheetId="8">PKA!#REF!</definedName>
    <definedName name="外部資料_551" localSheetId="9">PKB!#REF!</definedName>
    <definedName name="外部資料_5511" localSheetId="1">財報紅綠燈!#REF!</definedName>
    <definedName name="外部資料_5512" localSheetId="1">財報紅綠燈!#REF!</definedName>
    <definedName name="外部資料_5514" localSheetId="1">財報紅綠燈!#REF!</definedName>
    <definedName name="外部資料_5515" localSheetId="1">財報紅綠燈!#REF!</definedName>
    <definedName name="外部資料_5516" localSheetId="1">財報紅綠燈!#REF!</definedName>
    <definedName name="外部資料_5518" localSheetId="1">財報紅綠燈!#REF!</definedName>
    <definedName name="外部資料_5519" localSheetId="1">財報紅綠燈!#REF!</definedName>
    <definedName name="外部資料_552" localSheetId="8">PKA!#REF!</definedName>
    <definedName name="外部資料_552" localSheetId="9">PKB!#REF!</definedName>
    <definedName name="外部資料_552" localSheetId="1">財報紅綠燈!#REF!</definedName>
    <definedName name="外部資料_5520" localSheetId="1">財報紅綠燈!#REF!</definedName>
    <definedName name="外部資料_5522" localSheetId="1">財報紅綠燈!#REF!</definedName>
    <definedName name="外部資料_5523" localSheetId="1">財報紅綠燈!#REF!</definedName>
    <definedName name="外部資料_5524" localSheetId="1">財報紅綠燈!#REF!</definedName>
    <definedName name="外部資料_5526" localSheetId="1">財報紅綠燈!#REF!</definedName>
    <definedName name="外部資料_5527" localSheetId="1">財報紅綠燈!#REF!</definedName>
    <definedName name="外部資料_5528" localSheetId="1">財報紅綠燈!#REF!</definedName>
    <definedName name="外部資料_553" localSheetId="8">PKA!#REF!</definedName>
    <definedName name="外部資料_553" localSheetId="9">PKB!#REF!</definedName>
    <definedName name="外部資料_553" localSheetId="1">財報紅綠燈!#REF!</definedName>
    <definedName name="外部資料_5530" localSheetId="1">財報紅綠燈!#REF!</definedName>
    <definedName name="外部資料_5531" localSheetId="1">財報紅綠燈!#REF!</definedName>
    <definedName name="外部資料_5532" localSheetId="1">財報紅綠燈!#REF!</definedName>
    <definedName name="外部資料_5534" localSheetId="1">財報紅綠燈!#REF!</definedName>
    <definedName name="外部資料_5535" localSheetId="1">財報紅綠燈!#REF!</definedName>
    <definedName name="外部資料_5536" localSheetId="1">財報紅綠燈!#REF!</definedName>
    <definedName name="外部資料_5538" localSheetId="1">財報紅綠燈!#REF!</definedName>
    <definedName name="外部資料_5539" localSheetId="1">財報紅綠燈!#REF!</definedName>
    <definedName name="外部資料_554" localSheetId="8">PKA!#REF!</definedName>
    <definedName name="外部資料_554" localSheetId="9">PKB!#REF!</definedName>
    <definedName name="外部資料_554" localSheetId="1">財報紅綠燈!#REF!</definedName>
    <definedName name="外部資料_5540" localSheetId="1">財報紅綠燈!#REF!</definedName>
    <definedName name="外部資料_5542" localSheetId="1">財報紅綠燈!#REF!</definedName>
    <definedName name="外部資料_5543" localSheetId="1">財報紅綠燈!#REF!</definedName>
    <definedName name="外部資料_5544" localSheetId="1">財報紅綠燈!#REF!</definedName>
    <definedName name="外部資料_5546" localSheetId="1">財報紅綠燈!#REF!</definedName>
    <definedName name="外部資料_5547" localSheetId="1">財報紅綠燈!#REF!</definedName>
    <definedName name="外部資料_5548" localSheetId="1">財報紅綠燈!#REF!</definedName>
    <definedName name="外部資料_555" localSheetId="8">PKA!#REF!</definedName>
    <definedName name="外部資料_555" localSheetId="9">PKB!#REF!</definedName>
    <definedName name="外部資料_5550" localSheetId="1">財報紅綠燈!#REF!</definedName>
    <definedName name="外部資料_5551" localSheetId="1">財報紅綠燈!#REF!</definedName>
    <definedName name="外部資料_5552" localSheetId="1">財報紅綠燈!#REF!</definedName>
    <definedName name="外部資料_5554" localSheetId="1">財報紅綠燈!#REF!</definedName>
    <definedName name="外部資料_5555" localSheetId="1">財報紅綠燈!#REF!</definedName>
    <definedName name="外部資料_5556" localSheetId="1">財報紅綠燈!#REF!</definedName>
    <definedName name="外部資料_5558" localSheetId="1">財報紅綠燈!#REF!</definedName>
    <definedName name="外部資料_5559" localSheetId="1">財報紅綠燈!#REF!</definedName>
    <definedName name="外部資料_556" localSheetId="8">PKA!#REF!</definedName>
    <definedName name="外部資料_556" localSheetId="9">PKB!#REF!</definedName>
    <definedName name="外部資料_556" localSheetId="1">財報紅綠燈!#REF!</definedName>
    <definedName name="外部資料_5560" localSheetId="1">財報紅綠燈!#REF!</definedName>
    <definedName name="外部資料_5562" localSheetId="1">財報紅綠燈!#REF!</definedName>
    <definedName name="外部資料_5563" localSheetId="1">財報紅綠燈!#REF!</definedName>
    <definedName name="外部資料_5564" localSheetId="1">財報紅綠燈!#REF!</definedName>
    <definedName name="外部資料_5566" localSheetId="1">財報紅綠燈!#REF!</definedName>
    <definedName name="外部資料_5567" localSheetId="1">財報紅綠燈!#REF!</definedName>
    <definedName name="外部資料_5568" localSheetId="1">財報紅綠燈!#REF!</definedName>
    <definedName name="外部資料_557" localSheetId="8">PKA!#REF!</definedName>
    <definedName name="外部資料_557" localSheetId="9">PKB!#REF!</definedName>
    <definedName name="外部資料_557" localSheetId="1">財報紅綠燈!#REF!</definedName>
    <definedName name="外部資料_5570" localSheetId="1">財報紅綠燈!#REF!</definedName>
    <definedName name="外部資料_5571" localSheetId="1">財報紅綠燈!#REF!</definedName>
    <definedName name="外部資料_5572" localSheetId="1">財報紅綠燈!#REF!</definedName>
    <definedName name="外部資料_5574" localSheetId="1">財報紅綠燈!#REF!</definedName>
    <definedName name="外部資料_5575" localSheetId="1">財報紅綠燈!#REF!</definedName>
    <definedName name="外部資料_5576" localSheetId="1">財報紅綠燈!#REF!</definedName>
    <definedName name="外部資料_5578" localSheetId="1">財報紅綠燈!#REF!</definedName>
    <definedName name="外部資料_5579" localSheetId="1">財報紅綠燈!#REF!</definedName>
    <definedName name="外部資料_558" localSheetId="8">PKA!#REF!</definedName>
    <definedName name="外部資料_558" localSheetId="9">PKB!#REF!</definedName>
    <definedName name="外部資料_558" localSheetId="1">財報紅綠燈!#REF!</definedName>
    <definedName name="外部資料_5580" localSheetId="1">財報紅綠燈!#REF!</definedName>
    <definedName name="外部資料_5582" localSheetId="1">財報紅綠燈!#REF!</definedName>
    <definedName name="外部資料_5583" localSheetId="1">財報紅綠燈!#REF!</definedName>
    <definedName name="外部資料_5584" localSheetId="1">財報紅綠燈!#REF!</definedName>
    <definedName name="外部資料_5586" localSheetId="1">財報紅綠燈!#REF!</definedName>
    <definedName name="外部資料_5587" localSheetId="1">財報紅綠燈!#REF!</definedName>
    <definedName name="外部資料_5588" localSheetId="1">財報紅綠燈!#REF!</definedName>
    <definedName name="外部資料_559" localSheetId="8">PKA!#REF!</definedName>
    <definedName name="外部資料_559" localSheetId="9">PKB!#REF!</definedName>
    <definedName name="外部資料_5590" localSheetId="1">財報紅綠燈!#REF!</definedName>
    <definedName name="外部資料_5591" localSheetId="1">財報紅綠燈!#REF!</definedName>
    <definedName name="外部資料_5592" localSheetId="1">財報紅綠燈!#REF!</definedName>
    <definedName name="外部資料_5594" localSheetId="1">財報紅綠燈!#REF!</definedName>
    <definedName name="外部資料_5595" localSheetId="1">財報紅綠燈!#REF!</definedName>
    <definedName name="外部資料_5596" localSheetId="1">財報紅綠燈!#REF!</definedName>
    <definedName name="外部資料_5598" localSheetId="1">財報紅綠燈!#REF!</definedName>
    <definedName name="外部資料_5599" localSheetId="1">財報紅綠燈!#REF!</definedName>
    <definedName name="外部資料_56" localSheetId="8">PKA!#REF!</definedName>
    <definedName name="外部資料_56" localSheetId="9">PKB!#REF!</definedName>
    <definedName name="外部資料_56" localSheetId="10">PKC!#REF!</definedName>
    <definedName name="外部資料_56" localSheetId="1">財報紅綠燈!#REF!</definedName>
    <definedName name="外部資料_560" localSheetId="8">PKA!#REF!</definedName>
    <definedName name="外部資料_560" localSheetId="9">PKB!#REF!</definedName>
    <definedName name="外部資料_560" localSheetId="1">財報紅綠燈!#REF!</definedName>
    <definedName name="外部資料_5600" localSheetId="1">財報紅綠燈!#REF!</definedName>
    <definedName name="外部資料_5602" localSheetId="1">財報紅綠燈!#REF!</definedName>
    <definedName name="外部資料_5603" localSheetId="1">財報紅綠燈!#REF!</definedName>
    <definedName name="外部資料_5604" localSheetId="1">財報紅綠燈!#REF!</definedName>
    <definedName name="外部資料_5606" localSheetId="1">財報紅綠燈!#REF!</definedName>
    <definedName name="外部資料_5607" localSheetId="1">財報紅綠燈!#REF!</definedName>
    <definedName name="外部資料_5608" localSheetId="1">財報紅綠燈!#REF!</definedName>
    <definedName name="外部資料_561" localSheetId="8">PKA!#REF!</definedName>
    <definedName name="外部資料_561" localSheetId="9">PKB!#REF!</definedName>
    <definedName name="外部資料_561" localSheetId="1">財報紅綠燈!#REF!</definedName>
    <definedName name="外部資料_5610" localSheetId="1">財報紅綠燈!#REF!</definedName>
    <definedName name="外部資料_5611" localSheetId="1">財報紅綠燈!#REF!</definedName>
    <definedName name="外部資料_5612" localSheetId="1">財報紅綠燈!#REF!</definedName>
    <definedName name="外部資料_5614" localSheetId="1">財報紅綠燈!#REF!</definedName>
    <definedName name="外部資料_5615" localSheetId="1">財報紅綠燈!#REF!</definedName>
    <definedName name="外部資料_5616" localSheetId="1">財報紅綠燈!#REF!</definedName>
    <definedName name="外部資料_5618" localSheetId="1">財報紅綠燈!#REF!</definedName>
    <definedName name="外部資料_5619" localSheetId="1">財報紅綠燈!#REF!</definedName>
    <definedName name="外部資料_562" localSheetId="8">PKA!#REF!</definedName>
    <definedName name="外部資料_562" localSheetId="9">PKB!#REF!</definedName>
    <definedName name="外部資料_562" localSheetId="1">財報紅綠燈!#REF!</definedName>
    <definedName name="外部資料_5621" localSheetId="1">財報紅綠燈!#REF!</definedName>
    <definedName name="外部資料_5622" localSheetId="1">財報紅綠燈!#REF!</definedName>
    <definedName name="外部資料_5623" localSheetId="1">財報紅綠燈!#REF!</definedName>
    <definedName name="外部資料_5625" localSheetId="1">財報紅綠燈!#REF!</definedName>
    <definedName name="外部資料_5626" localSheetId="1">財報紅綠燈!#REF!</definedName>
    <definedName name="外部資料_5627" localSheetId="1">財報紅綠燈!#REF!</definedName>
    <definedName name="外部資料_5629" localSheetId="1">財報紅綠燈!#REF!</definedName>
    <definedName name="外部資料_563" localSheetId="8">PKA!#REF!</definedName>
    <definedName name="外部資料_563" localSheetId="9">PKB!#REF!</definedName>
    <definedName name="外部資料_5630" localSheetId="1">財報紅綠燈!#REF!</definedName>
    <definedName name="外部資料_5631" localSheetId="1">財報紅綠燈!#REF!</definedName>
    <definedName name="外部資料_5633" localSheetId="1">財報紅綠燈!#REF!</definedName>
    <definedName name="外部資料_5634" localSheetId="1">財報紅綠燈!#REF!</definedName>
    <definedName name="外部資料_5635" localSheetId="1">財報紅綠燈!#REF!</definedName>
    <definedName name="外部資料_5637" localSheetId="1">財報紅綠燈!#REF!</definedName>
    <definedName name="外部資料_5638" localSheetId="1">財報紅綠燈!#REF!</definedName>
    <definedName name="外部資料_5639" localSheetId="1">財報紅綠燈!#REF!</definedName>
    <definedName name="外部資料_564" localSheetId="8">PKA!#REF!</definedName>
    <definedName name="外部資料_564" localSheetId="9">PKB!#REF!</definedName>
    <definedName name="外部資料_564" localSheetId="1">財報紅綠燈!#REF!</definedName>
    <definedName name="外部資料_5641" localSheetId="1">財報紅綠燈!#REF!</definedName>
    <definedName name="外部資料_5642" localSheetId="1">財報紅綠燈!#REF!</definedName>
    <definedName name="外部資料_5643" localSheetId="1">財報紅綠燈!#REF!</definedName>
    <definedName name="外部資料_5645" localSheetId="1">財報紅綠燈!#REF!</definedName>
    <definedName name="外部資料_5646" localSheetId="1">財報紅綠燈!#REF!</definedName>
    <definedName name="外部資料_5647" localSheetId="1">財報紅綠燈!#REF!</definedName>
    <definedName name="外部資料_5649" localSheetId="1">財報紅綠燈!#REF!</definedName>
    <definedName name="外部資料_565" localSheetId="8">PKA!#REF!</definedName>
    <definedName name="外部資料_565" localSheetId="9">PKB!#REF!</definedName>
    <definedName name="外部資料_565" localSheetId="1">財報紅綠燈!#REF!</definedName>
    <definedName name="外部資料_5650" localSheetId="1">財報紅綠燈!#REF!</definedName>
    <definedName name="外部資料_5651" localSheetId="1">財報紅綠燈!#REF!</definedName>
    <definedName name="外部資料_5653" localSheetId="1">財報紅綠燈!#REF!</definedName>
    <definedName name="外部資料_5654" localSheetId="1">財報紅綠燈!#REF!</definedName>
    <definedName name="外部資料_5655" localSheetId="1">財報紅綠燈!#REF!</definedName>
    <definedName name="外部資料_5657" localSheetId="1">財報紅綠燈!#REF!</definedName>
    <definedName name="外部資料_5658" localSheetId="1">財報紅綠燈!#REF!</definedName>
    <definedName name="外部資料_5659" localSheetId="1">財報紅綠燈!#REF!</definedName>
    <definedName name="外部資料_566" localSheetId="8">PKA!#REF!</definedName>
    <definedName name="外部資料_566" localSheetId="9">PKB!#REF!</definedName>
    <definedName name="外部資料_566" localSheetId="1">財報紅綠燈!#REF!</definedName>
    <definedName name="外部資料_5661" localSheetId="1">財報紅綠燈!#REF!</definedName>
    <definedName name="外部資料_5662" localSheetId="1">財報紅綠燈!#REF!</definedName>
    <definedName name="外部資料_5663" localSheetId="1">財報紅綠燈!#REF!</definedName>
    <definedName name="外部資料_5665" localSheetId="1">財報紅綠燈!#REF!</definedName>
    <definedName name="外部資料_5666" localSheetId="1">財報紅綠燈!#REF!</definedName>
    <definedName name="外部資料_5667" localSheetId="1">財報紅綠燈!#REF!</definedName>
    <definedName name="外部資料_5669" localSheetId="1">財報紅綠燈!#REF!</definedName>
    <definedName name="外部資料_567" localSheetId="8">PKA!#REF!</definedName>
    <definedName name="外部資料_567" localSheetId="9">PKB!#REF!</definedName>
    <definedName name="外部資料_5670" localSheetId="1">財報紅綠燈!#REF!</definedName>
    <definedName name="外部資料_5671" localSheetId="1">財報紅綠燈!#REF!</definedName>
    <definedName name="外部資料_5673" localSheetId="1">財報紅綠燈!#REF!</definedName>
    <definedName name="外部資料_5674" localSheetId="1">財報紅綠燈!#REF!</definedName>
    <definedName name="外部資料_5675" localSheetId="1">財報紅綠燈!#REF!</definedName>
    <definedName name="外部資料_5677" localSheetId="1">財報紅綠燈!#REF!</definedName>
    <definedName name="外部資料_5678" localSheetId="1">財報紅綠燈!#REF!</definedName>
    <definedName name="外部資料_5679" localSheetId="1">財報紅綠燈!#REF!</definedName>
    <definedName name="外部資料_568" localSheetId="9">PKB!#REF!</definedName>
    <definedName name="外部資料_568" localSheetId="1">財報紅綠燈!#REF!</definedName>
    <definedName name="外部資料_5681" localSheetId="1">財報紅綠燈!#REF!</definedName>
    <definedName name="外部資料_5682" localSheetId="1">財報紅綠燈!#REF!</definedName>
    <definedName name="外部資料_5683" localSheetId="1">財報紅綠燈!#REF!</definedName>
    <definedName name="外部資料_5685" localSheetId="1">財報紅綠燈!#REF!</definedName>
    <definedName name="外部資料_5686" localSheetId="1">財報紅綠燈!#REF!</definedName>
    <definedName name="外部資料_5687" localSheetId="1">財報紅綠燈!#REF!</definedName>
    <definedName name="外部資料_5689" localSheetId="1">財報紅綠燈!#REF!</definedName>
    <definedName name="外部資料_569" localSheetId="9">PKB!#REF!</definedName>
    <definedName name="外部資料_569" localSheetId="1">財報紅綠燈!#REF!</definedName>
    <definedName name="外部資料_5690" localSheetId="1">財報紅綠燈!#REF!</definedName>
    <definedName name="外部資料_5691" localSheetId="1">財報紅綠燈!#REF!</definedName>
    <definedName name="外部資料_5693" localSheetId="1">財報紅綠燈!#REF!</definedName>
    <definedName name="外部資料_5694" localSheetId="1">財報紅綠燈!#REF!</definedName>
    <definedName name="外部資料_5695" localSheetId="1">財報紅綠燈!#REF!</definedName>
    <definedName name="外部資料_5697" localSheetId="1">財報紅綠燈!#REF!</definedName>
    <definedName name="外部資料_5698" localSheetId="1">財報紅綠燈!#REF!</definedName>
    <definedName name="外部資料_5699" localSheetId="1">財報紅綠燈!#REF!</definedName>
    <definedName name="外部資料_57" localSheetId="8">PKA!#REF!</definedName>
    <definedName name="外部資料_57" localSheetId="9">PKB!#REF!</definedName>
    <definedName name="外部資料_57" localSheetId="10">PKC!#REF!</definedName>
    <definedName name="外部資料_57" localSheetId="1">財報紅綠燈!#REF!</definedName>
    <definedName name="外部資料_570" localSheetId="9">PKB!#REF!</definedName>
    <definedName name="外部資料_570" localSheetId="1">財報紅綠燈!#REF!</definedName>
    <definedName name="外部資料_5701" localSheetId="1">財報紅綠燈!#REF!</definedName>
    <definedName name="外部資料_5702" localSheetId="1">財報紅綠燈!#REF!</definedName>
    <definedName name="外部資料_5703" localSheetId="1">財報紅綠燈!#REF!</definedName>
    <definedName name="外部資料_5705" localSheetId="1">財報紅綠燈!#REF!</definedName>
    <definedName name="外部資料_5706" localSheetId="1">財報紅綠燈!#REF!</definedName>
    <definedName name="外部資料_5707" localSheetId="1">財報紅綠燈!#REF!</definedName>
    <definedName name="外部資料_5709" localSheetId="1">財報紅綠燈!#REF!</definedName>
    <definedName name="外部資料_571" localSheetId="9">PKB!#REF!</definedName>
    <definedName name="外部資料_5710" localSheetId="1">財報紅綠燈!#REF!</definedName>
    <definedName name="外部資料_5711" localSheetId="1">財報紅綠燈!#REF!</definedName>
    <definedName name="外部資料_5713" localSheetId="1">財報紅綠燈!#REF!</definedName>
    <definedName name="外部資料_5714" localSheetId="1">財報紅綠燈!#REF!</definedName>
    <definedName name="外部資料_5715" localSheetId="1">財報紅綠燈!#REF!</definedName>
    <definedName name="外部資料_5717" localSheetId="1">財報紅綠燈!#REF!</definedName>
    <definedName name="外部資料_5718" localSheetId="1">財報紅綠燈!#REF!</definedName>
    <definedName name="外部資料_5719" localSheetId="1">財報紅綠燈!#REF!</definedName>
    <definedName name="外部資料_572" localSheetId="1">財報紅綠燈!#REF!</definedName>
    <definedName name="外部資料_5721" localSheetId="1">財報紅綠燈!#REF!</definedName>
    <definedName name="外部資料_5722" localSheetId="1">財報紅綠燈!#REF!</definedName>
    <definedName name="外部資料_5723" localSheetId="1">財報紅綠燈!#REF!</definedName>
    <definedName name="外部資料_5725" localSheetId="1">財報紅綠燈!#REF!</definedName>
    <definedName name="外部資料_5726" localSheetId="1">財報紅綠燈!#REF!</definedName>
    <definedName name="外部資料_5727" localSheetId="1">財報紅綠燈!#REF!</definedName>
    <definedName name="外部資料_5729" localSheetId="1">財報紅綠燈!#REF!</definedName>
    <definedName name="外部資料_573" localSheetId="1">財報紅綠燈!#REF!</definedName>
    <definedName name="外部資料_5730" localSheetId="1">財報紅綠燈!#REF!</definedName>
    <definedName name="外部資料_5731" localSheetId="1">財報紅綠燈!#REF!</definedName>
    <definedName name="外部資料_5733" localSheetId="1">財報紅綠燈!#REF!</definedName>
    <definedName name="外部資料_5734" localSheetId="1">財報紅綠燈!#REF!</definedName>
    <definedName name="外部資料_5735" localSheetId="1">財報紅綠燈!#REF!</definedName>
    <definedName name="外部資料_5737" localSheetId="1">財報紅綠燈!#REF!</definedName>
    <definedName name="外部資料_5738" localSheetId="1">財報紅綠燈!#REF!</definedName>
    <definedName name="外部資料_5739" localSheetId="1">財報紅綠燈!#REF!</definedName>
    <definedName name="外部資料_574" localSheetId="1">財報紅綠燈!#REF!</definedName>
    <definedName name="外部資料_5741" localSheetId="1">財報紅綠燈!#REF!</definedName>
    <definedName name="外部資料_5742" localSheetId="1">財報紅綠燈!#REF!</definedName>
    <definedName name="外部資料_5743" localSheetId="1">財報紅綠燈!#REF!</definedName>
    <definedName name="外部資料_5745" localSheetId="1">財報紅綠燈!#REF!</definedName>
    <definedName name="外部資料_5746" localSheetId="1">財報紅綠燈!#REF!</definedName>
    <definedName name="外部資料_5747" localSheetId="1">財報紅綠燈!#REF!</definedName>
    <definedName name="外部資料_5749" localSheetId="1">財報紅綠燈!#REF!</definedName>
    <definedName name="外部資料_5750" localSheetId="1">財報紅綠燈!#REF!</definedName>
    <definedName name="外部資料_5751" localSheetId="1">財報紅綠燈!#REF!</definedName>
    <definedName name="外部資料_5753" localSheetId="1">財報紅綠燈!#REF!</definedName>
    <definedName name="外部資料_5754" localSheetId="1">財報紅綠燈!#REF!</definedName>
    <definedName name="外部資料_5755" localSheetId="1">財報紅綠燈!#REF!</definedName>
    <definedName name="外部資料_5757" localSheetId="1">財報紅綠燈!#REF!</definedName>
    <definedName name="外部資料_5758" localSheetId="1">財報紅綠燈!#REF!</definedName>
    <definedName name="外部資料_5759" localSheetId="1">財報紅綠燈!#REF!</definedName>
    <definedName name="外部資料_576" localSheetId="1">財報紅綠燈!#REF!</definedName>
    <definedName name="外部資料_5761" localSheetId="1">財報紅綠燈!#REF!</definedName>
    <definedName name="外部資料_5762" localSheetId="1">財報紅綠燈!#REF!</definedName>
    <definedName name="外部資料_5763" localSheetId="1">財報紅綠燈!#REF!</definedName>
    <definedName name="外部資料_5765" localSheetId="1">財報紅綠燈!#REF!</definedName>
    <definedName name="外部資料_5766" localSheetId="1">財報紅綠燈!#REF!</definedName>
    <definedName name="外部資料_5767" localSheetId="1">財報紅綠燈!#REF!</definedName>
    <definedName name="外部資料_5769" localSheetId="1">財報紅綠燈!#REF!</definedName>
    <definedName name="外部資料_577" localSheetId="1">財報紅綠燈!#REF!</definedName>
    <definedName name="外部資料_5770" localSheetId="1">財報紅綠燈!#REF!</definedName>
    <definedName name="外部資料_5771" localSheetId="1">財報紅綠燈!#REF!</definedName>
    <definedName name="外部資料_5773" localSheetId="1">財報紅綠燈!#REF!</definedName>
    <definedName name="外部資料_5774" localSheetId="1">財報紅綠燈!#REF!</definedName>
    <definedName name="外部資料_5775" localSheetId="1">財報紅綠燈!#REF!</definedName>
    <definedName name="外部資料_5777" localSheetId="1">財報紅綠燈!#REF!</definedName>
    <definedName name="外部資料_5778" localSheetId="1">財報紅綠燈!#REF!</definedName>
    <definedName name="外部資料_5779" localSheetId="1">財報紅綠燈!#REF!</definedName>
    <definedName name="外部資料_578" localSheetId="1">財報紅綠燈!#REF!</definedName>
    <definedName name="外部資料_5781" localSheetId="1">財報紅綠燈!#REF!</definedName>
    <definedName name="外部資料_5782" localSheetId="1">財報紅綠燈!#REF!</definedName>
    <definedName name="外部資料_5783" localSheetId="1">財報紅綠燈!#REF!</definedName>
    <definedName name="外部資料_5785" localSheetId="1">財報紅綠燈!#REF!</definedName>
    <definedName name="外部資料_5786" localSheetId="1">財報紅綠燈!#REF!</definedName>
    <definedName name="外部資料_5787" localSheetId="1">財報紅綠燈!#REF!</definedName>
    <definedName name="外部資料_5789" localSheetId="1">財報紅綠燈!#REF!</definedName>
    <definedName name="外部資料_5790" localSheetId="1">財報紅綠燈!#REF!</definedName>
    <definedName name="外部資料_5791" localSheetId="1">財報紅綠燈!#REF!</definedName>
    <definedName name="外部資料_5793" localSheetId="1">財報紅綠燈!#REF!</definedName>
    <definedName name="外部資料_5794" localSheetId="1">財報紅綠燈!#REF!</definedName>
    <definedName name="外部資料_5795" localSheetId="1">財報紅綠燈!#REF!</definedName>
    <definedName name="外部資料_5797" localSheetId="1">財報紅綠燈!#REF!</definedName>
    <definedName name="外部資料_5798" localSheetId="1">財報紅綠燈!#REF!</definedName>
    <definedName name="外部資料_5799" localSheetId="1">財報紅綠燈!#REF!</definedName>
    <definedName name="外部資料_58" localSheetId="8">PKA!#REF!</definedName>
    <definedName name="外部資料_58" localSheetId="9">PKB!#REF!</definedName>
    <definedName name="外部資料_58" localSheetId="10">PKC!#REF!</definedName>
    <definedName name="外部資料_58" localSheetId="1">財報紅綠燈!#REF!</definedName>
    <definedName name="外部資料_580" localSheetId="1">財報紅綠燈!#REF!</definedName>
    <definedName name="外部資料_5801" localSheetId="1">財報紅綠燈!#REF!</definedName>
    <definedName name="外部資料_5802" localSheetId="1">財報紅綠燈!#REF!</definedName>
    <definedName name="外部資料_5803" localSheetId="1">財報紅綠燈!#REF!</definedName>
    <definedName name="外部資料_5805" localSheetId="1">財報紅綠燈!#REF!</definedName>
    <definedName name="外部資料_5806" localSheetId="1">財報紅綠燈!#REF!</definedName>
    <definedName name="外部資料_5807" localSheetId="1">財報紅綠燈!#REF!</definedName>
    <definedName name="外部資料_5809" localSheetId="1">財報紅綠燈!#REF!</definedName>
    <definedName name="外部資料_581" localSheetId="1">財報紅綠燈!#REF!</definedName>
    <definedName name="外部資料_5810" localSheetId="1">財報紅綠燈!#REF!</definedName>
    <definedName name="外部資料_5811" localSheetId="1">財報紅綠燈!#REF!</definedName>
    <definedName name="外部資料_5813" localSheetId="1">財報紅綠燈!#REF!</definedName>
    <definedName name="外部資料_5814" localSheetId="1">財報紅綠燈!#REF!</definedName>
    <definedName name="外部資料_5815" localSheetId="1">財報紅綠燈!#REF!</definedName>
    <definedName name="外部資料_5817" localSheetId="1">財報紅綠燈!#REF!</definedName>
    <definedName name="外部資料_5818" localSheetId="1">財報紅綠燈!#REF!</definedName>
    <definedName name="外部資料_5819" localSheetId="1">財報紅綠燈!#REF!</definedName>
    <definedName name="外部資料_582" localSheetId="1">財報紅綠燈!#REF!</definedName>
    <definedName name="外部資料_5821" localSheetId="1">財報紅綠燈!#REF!</definedName>
    <definedName name="外部資料_5822" localSheetId="1">財報紅綠燈!#REF!</definedName>
    <definedName name="外部資料_5823" localSheetId="1">財報紅綠燈!#REF!</definedName>
    <definedName name="外部資料_5825" localSheetId="1">財報紅綠燈!#REF!</definedName>
    <definedName name="外部資料_5826" localSheetId="1">財報紅綠燈!#REF!</definedName>
    <definedName name="外部資料_5827" localSheetId="1">財報紅綠燈!#REF!</definedName>
    <definedName name="外部資料_5829" localSheetId="1">財報紅綠燈!#REF!</definedName>
    <definedName name="外部資料_5830" localSheetId="1">財報紅綠燈!#REF!</definedName>
    <definedName name="外部資料_5831" localSheetId="1">財報紅綠燈!#REF!</definedName>
    <definedName name="外部資料_5833" localSheetId="1">財報紅綠燈!#REF!</definedName>
    <definedName name="外部資料_5834" localSheetId="1">財報紅綠燈!#REF!</definedName>
    <definedName name="外部資料_5835" localSheetId="1">財報紅綠燈!#REF!</definedName>
    <definedName name="外部資料_5837" localSheetId="1">財報紅綠燈!#REF!</definedName>
    <definedName name="外部資料_5838" localSheetId="1">財報紅綠燈!#REF!</definedName>
    <definedName name="外部資料_5839" localSheetId="1">財報紅綠燈!#REF!</definedName>
    <definedName name="外部資料_584" localSheetId="1">財報紅綠燈!#REF!</definedName>
    <definedName name="外部資料_5841" localSheetId="1">財報紅綠燈!#REF!</definedName>
    <definedName name="外部資料_5842" localSheetId="1">財報紅綠燈!#REF!</definedName>
    <definedName name="外部資料_5843" localSheetId="1">財報紅綠燈!#REF!</definedName>
    <definedName name="外部資料_5845" localSheetId="1">財報紅綠燈!#REF!</definedName>
    <definedName name="外部資料_5846" localSheetId="1">財報紅綠燈!#REF!</definedName>
    <definedName name="外部資料_5847" localSheetId="1">財報紅綠燈!#REF!</definedName>
    <definedName name="外部資料_5849" localSheetId="1">財報紅綠燈!#REF!</definedName>
    <definedName name="外部資料_585" localSheetId="1">財報紅綠燈!#REF!</definedName>
    <definedName name="外部資料_5850" localSheetId="1">財報紅綠燈!#REF!</definedName>
    <definedName name="外部資料_5851" localSheetId="1">財報紅綠燈!#REF!</definedName>
    <definedName name="外部資料_5853" localSheetId="1">財報紅綠燈!#REF!</definedName>
    <definedName name="外部資料_5854" localSheetId="1">財報紅綠燈!#REF!</definedName>
    <definedName name="外部資料_5855" localSheetId="1">財報紅綠燈!#REF!</definedName>
    <definedName name="外部資料_5857" localSheetId="1">財報紅綠燈!#REF!</definedName>
    <definedName name="外部資料_5858" localSheetId="1">財報紅綠燈!#REF!</definedName>
    <definedName name="外部資料_5859" localSheetId="1">財報紅綠燈!#REF!</definedName>
    <definedName name="外部資料_586" localSheetId="1">財報紅綠燈!#REF!</definedName>
    <definedName name="外部資料_5861" localSheetId="1">財報紅綠燈!#REF!</definedName>
    <definedName name="外部資料_5862" localSheetId="1">財報紅綠燈!#REF!</definedName>
    <definedName name="外部資料_5863" localSheetId="1">財報紅綠燈!#REF!</definedName>
    <definedName name="外部資料_5865" localSheetId="1">財報紅綠燈!#REF!</definedName>
    <definedName name="外部資料_5866" localSheetId="1">財報紅綠燈!#REF!</definedName>
    <definedName name="外部資料_5867" localSheetId="1">財報紅綠燈!#REF!</definedName>
    <definedName name="外部資料_5869" localSheetId="1">財報紅綠燈!#REF!</definedName>
    <definedName name="外部資料_5870" localSheetId="1">財報紅綠燈!#REF!</definedName>
    <definedName name="外部資料_5871" localSheetId="1">財報紅綠燈!#REF!</definedName>
    <definedName name="外部資料_5873" localSheetId="1">財報紅綠燈!#REF!</definedName>
    <definedName name="外部資料_5874" localSheetId="1">財報紅綠燈!#REF!</definedName>
    <definedName name="外部資料_5875" localSheetId="1">財報紅綠燈!#REF!</definedName>
    <definedName name="外部資料_5877" localSheetId="1">財報紅綠燈!#REF!</definedName>
    <definedName name="外部資料_5878" localSheetId="1">財報紅綠燈!#REF!</definedName>
    <definedName name="外部資料_5879" localSheetId="1">財報紅綠燈!#REF!</definedName>
    <definedName name="外部資料_588" localSheetId="1">財報紅綠燈!#REF!</definedName>
    <definedName name="外部資料_5881" localSheetId="1">財報紅綠燈!#REF!</definedName>
    <definedName name="外部資料_5882" localSheetId="1">財報紅綠燈!#REF!</definedName>
    <definedName name="外部資料_5884" localSheetId="1">財報紅綠燈!#REF!</definedName>
    <definedName name="外部資料_5885" localSheetId="1">財報紅綠燈!#REF!</definedName>
    <definedName name="外部資料_5886" localSheetId="1">財報紅綠燈!#REF!</definedName>
    <definedName name="外部資料_5888" localSheetId="1">財報紅綠燈!#REF!</definedName>
    <definedName name="外部資料_5889" localSheetId="1">財報紅綠燈!#REF!</definedName>
    <definedName name="外部資料_589" localSheetId="1">財報紅綠燈!#REF!</definedName>
    <definedName name="外部資料_5890" localSheetId="1">財報紅綠燈!#REF!</definedName>
    <definedName name="外部資料_5892" localSheetId="1">財報紅綠燈!#REF!</definedName>
    <definedName name="外部資料_5893" localSheetId="1">財報紅綠燈!#REF!</definedName>
    <definedName name="外部資料_5894" localSheetId="1">財報紅綠燈!#REF!</definedName>
    <definedName name="外部資料_5896" localSheetId="1">財報紅綠燈!#REF!</definedName>
    <definedName name="外部資料_5897" localSheetId="1">財報紅綠燈!#REF!</definedName>
    <definedName name="外部資料_5898" localSheetId="1">財報紅綠燈!#REF!</definedName>
    <definedName name="外部資料_59" localSheetId="8">PKA!#REF!</definedName>
    <definedName name="外部資料_59" localSheetId="9">PKB!#REF!</definedName>
    <definedName name="外部資料_59" localSheetId="10">PKC!#REF!</definedName>
    <definedName name="外部資料_590" localSheetId="1">財報紅綠燈!#REF!</definedName>
    <definedName name="外部資料_5900" localSheetId="1">財報紅綠燈!#REF!</definedName>
    <definedName name="外部資料_5901" localSheetId="1">財報紅綠燈!#REF!</definedName>
    <definedName name="外部資料_5902" localSheetId="1">財報紅綠燈!#REF!</definedName>
    <definedName name="外部資料_5904" localSheetId="1">財報紅綠燈!#REF!</definedName>
    <definedName name="外部資料_5905" localSheetId="1">財報紅綠燈!#REF!</definedName>
    <definedName name="外部資料_5906" localSheetId="1">財報紅綠燈!#REF!</definedName>
    <definedName name="外部資料_5908" localSheetId="1">財報紅綠燈!#REF!</definedName>
    <definedName name="外部資料_5909" localSheetId="1">財報紅綠燈!#REF!</definedName>
    <definedName name="外部資料_5910" localSheetId="1">財報紅綠燈!#REF!</definedName>
    <definedName name="外部資料_5912" localSheetId="1">財報紅綠燈!#REF!</definedName>
    <definedName name="外部資料_5913" localSheetId="1">財報紅綠燈!#REF!</definedName>
    <definedName name="外部資料_5914" localSheetId="1">財報紅綠燈!#REF!</definedName>
    <definedName name="外部資料_5916" localSheetId="1">財報紅綠燈!#REF!</definedName>
    <definedName name="外部資料_5917" localSheetId="1">財報紅綠燈!#REF!</definedName>
    <definedName name="外部資料_5918" localSheetId="1">財報紅綠燈!#REF!</definedName>
    <definedName name="外部資料_592" localSheetId="1">財報紅綠燈!#REF!</definedName>
    <definedName name="外部資料_5920" localSheetId="1">財報紅綠燈!#REF!</definedName>
    <definedName name="外部資料_5921" localSheetId="1">財報紅綠燈!#REF!</definedName>
    <definedName name="外部資料_5922" localSheetId="1">財報紅綠燈!#REF!</definedName>
    <definedName name="外部資料_5924" localSheetId="1">財報紅綠燈!#REF!</definedName>
    <definedName name="外部資料_5925" localSheetId="1">財報紅綠燈!#REF!</definedName>
    <definedName name="外部資料_5926" localSheetId="1">財報紅綠燈!#REF!</definedName>
    <definedName name="外部資料_5928" localSheetId="1">財報紅綠燈!#REF!</definedName>
    <definedName name="外部資料_5929" localSheetId="1">財報紅綠燈!#REF!</definedName>
    <definedName name="外部資料_593" localSheetId="1">財報紅綠燈!#REF!</definedName>
    <definedName name="外部資料_5930" localSheetId="1">財報紅綠燈!#REF!</definedName>
    <definedName name="外部資料_5932" localSheetId="1">財報紅綠燈!#REF!</definedName>
    <definedName name="外部資料_5933" localSheetId="1">財報紅綠燈!#REF!</definedName>
    <definedName name="外部資料_5934" localSheetId="1">財報紅綠燈!#REF!</definedName>
    <definedName name="外部資料_5936" localSheetId="1">財報紅綠燈!#REF!</definedName>
    <definedName name="外部資料_5937" localSheetId="1">財報紅綠燈!#REF!</definedName>
    <definedName name="外部資料_5939" localSheetId="1">財報紅綠燈!#REF!</definedName>
    <definedName name="外部資料_594" localSheetId="1">財報紅綠燈!#REF!</definedName>
    <definedName name="外部資料_5940" localSheetId="1">財報紅綠燈!#REF!</definedName>
    <definedName name="外部資料_5941" localSheetId="1">財報紅綠燈!#REF!</definedName>
    <definedName name="外部資料_5943" localSheetId="1">財報紅綠燈!#REF!</definedName>
    <definedName name="外部資料_5944" localSheetId="1">財報紅綠燈!#REF!</definedName>
    <definedName name="外部資料_5945" localSheetId="1">財報紅綠燈!#REF!</definedName>
    <definedName name="外部資料_5947" localSheetId="1">財報紅綠燈!#REF!</definedName>
    <definedName name="外部資料_5948" localSheetId="1">財報紅綠燈!#REF!</definedName>
    <definedName name="外部資料_5949" localSheetId="1">財報紅綠燈!#REF!</definedName>
    <definedName name="外部資料_5951" localSheetId="1">財報紅綠燈!#REF!</definedName>
    <definedName name="外部資料_5952" localSheetId="1">財報紅綠燈!#REF!</definedName>
    <definedName name="外部資料_5953" localSheetId="1">財報紅綠燈!#REF!</definedName>
    <definedName name="外部資料_5955" localSheetId="1">財報紅綠燈!#REF!</definedName>
    <definedName name="外部資料_5956" localSheetId="1">財報紅綠燈!#REF!</definedName>
    <definedName name="外部資料_5957" localSheetId="1">財報紅綠燈!#REF!</definedName>
    <definedName name="外部資料_5959" localSheetId="1">財報紅綠燈!#REF!</definedName>
    <definedName name="外部資料_596" localSheetId="1">財報紅綠燈!#REF!</definedName>
    <definedName name="外部資料_5960" localSheetId="1">財報紅綠燈!#REF!</definedName>
    <definedName name="外部資料_5961" localSheetId="1">財報紅綠燈!#REF!</definedName>
    <definedName name="外部資料_5963" localSheetId="1">財報紅綠燈!#REF!</definedName>
    <definedName name="外部資料_5964" localSheetId="1">財報紅綠燈!#REF!</definedName>
    <definedName name="外部資料_5965" localSheetId="1">財報紅綠燈!#REF!</definedName>
    <definedName name="外部資料_5967" localSheetId="1">財報紅綠燈!#REF!</definedName>
    <definedName name="外部資料_5968" localSheetId="1">財報紅綠燈!#REF!</definedName>
    <definedName name="外部資料_5969" localSheetId="1">財報紅綠燈!#REF!</definedName>
    <definedName name="外部資料_597" localSheetId="1">財報紅綠燈!#REF!</definedName>
    <definedName name="外部資料_5971" localSheetId="1">財報紅綠燈!#REF!</definedName>
    <definedName name="外部資料_5972" localSheetId="1">財報紅綠燈!#REF!</definedName>
    <definedName name="外部資料_5973" localSheetId="1">財報紅綠燈!#REF!</definedName>
    <definedName name="外部資料_5975" localSheetId="1">財報紅綠燈!#REF!</definedName>
    <definedName name="外部資料_5976" localSheetId="1">財報紅綠燈!#REF!</definedName>
    <definedName name="外部資料_5977" localSheetId="1">財報紅綠燈!#REF!</definedName>
    <definedName name="外部資料_5979" localSheetId="1">財報紅綠燈!#REF!</definedName>
    <definedName name="外部資料_598" localSheetId="1">財報紅綠燈!#REF!</definedName>
    <definedName name="外部資料_5980" localSheetId="1">財報紅綠燈!#REF!</definedName>
    <definedName name="外部資料_5981" localSheetId="1">財報紅綠燈!#REF!</definedName>
    <definedName name="外部資料_5983" localSheetId="1">財報紅綠燈!#REF!</definedName>
    <definedName name="外部資料_5984" localSheetId="1">財報紅綠燈!#REF!</definedName>
    <definedName name="外部資料_5985" localSheetId="1">財報紅綠燈!#REF!</definedName>
    <definedName name="外部資料_5987" localSheetId="1">財報紅綠燈!#REF!</definedName>
    <definedName name="外部資料_5988" localSheetId="1">財報紅綠燈!#REF!</definedName>
    <definedName name="外部資料_5989" localSheetId="1">財報紅綠燈!#REF!</definedName>
    <definedName name="外部資料_5991" localSheetId="1">財報紅綠燈!#REF!</definedName>
    <definedName name="外部資料_5992" localSheetId="1">財報紅綠燈!#REF!</definedName>
    <definedName name="外部資料_5993" localSheetId="1">財報紅綠燈!#REF!</definedName>
    <definedName name="外部資料_6" localSheetId="8">PKA!#REF!</definedName>
    <definedName name="外部資料_6" localSheetId="9">PKB!#REF!</definedName>
    <definedName name="外部資料_6" localSheetId="10">PKC!#REF!</definedName>
    <definedName name="外部資料_6" localSheetId="11">PRICE!#REF!</definedName>
    <definedName name="外部資料_6" localSheetId="1">財報紅綠燈!#REF!</definedName>
    <definedName name="外部資料_6" localSheetId="5">評比系統!#REF!</definedName>
    <definedName name="外部資料_6" localSheetId="3">篩股系統!#REF!</definedName>
    <definedName name="外部資料_60" localSheetId="8">PKA!#REF!</definedName>
    <definedName name="外部資料_60" localSheetId="9">PKB!#REF!</definedName>
    <definedName name="外部資料_60" localSheetId="10">PKC!#REF!</definedName>
    <definedName name="外部資料_60" localSheetId="1">財報紅綠燈!#REF!</definedName>
    <definedName name="外部資料_600" localSheetId="1">財報紅綠燈!#REF!</definedName>
    <definedName name="外部資料_601" localSheetId="1">財報紅綠燈!#REF!</definedName>
    <definedName name="外部資料_603" localSheetId="1">財報紅綠燈!#REF!</definedName>
    <definedName name="外部資料_604" localSheetId="1">財報紅綠燈!#REF!</definedName>
    <definedName name="外部資料_605" localSheetId="1">財報紅綠燈!#REF!</definedName>
    <definedName name="外部資料_607" localSheetId="1">財報紅綠燈!#REF!</definedName>
    <definedName name="外部資料_608" localSheetId="1">財報紅綠燈!#REF!</definedName>
    <definedName name="外部資料_609" localSheetId="1">財報紅綠燈!#REF!</definedName>
    <definedName name="外部資料_61" localSheetId="8">PKA!#REF!</definedName>
    <definedName name="外部資料_61" localSheetId="9">PKB!#REF!</definedName>
    <definedName name="外部資料_61" localSheetId="10">PKC!#REF!</definedName>
    <definedName name="外部資料_61" localSheetId="1">財報紅綠燈!#REF!</definedName>
    <definedName name="外部資料_611" localSheetId="1">財報紅綠燈!#REF!</definedName>
    <definedName name="外部資料_612" localSheetId="1">財報紅綠燈!#REF!</definedName>
    <definedName name="外部資料_613" localSheetId="1">財報紅綠燈!#REF!</definedName>
    <definedName name="外部資料_615" localSheetId="1">財報紅綠燈!#REF!</definedName>
    <definedName name="外部資料_616" localSheetId="1">財報紅綠燈!#REF!</definedName>
    <definedName name="外部資料_617" localSheetId="1">財報紅綠燈!#REF!</definedName>
    <definedName name="外部資料_619" localSheetId="1">財報紅綠燈!#REF!</definedName>
    <definedName name="外部資料_62" localSheetId="8">PKA!#REF!</definedName>
    <definedName name="外部資料_62" localSheetId="9">PKB!#REF!</definedName>
    <definedName name="外部資料_62" localSheetId="10">PKC!#REF!</definedName>
    <definedName name="外部資料_62" localSheetId="1">財報紅綠燈!#REF!</definedName>
    <definedName name="外部資料_620" localSheetId="1">財報紅綠燈!#REF!</definedName>
    <definedName name="外部資料_621" localSheetId="1">財報紅綠燈!#REF!</definedName>
    <definedName name="外部資料_623" localSheetId="1">財報紅綠燈!#REF!</definedName>
    <definedName name="外部資料_624" localSheetId="1">財報紅綠燈!#REF!</definedName>
    <definedName name="外部資料_625" localSheetId="1">財報紅綠燈!#REF!</definedName>
    <definedName name="外部資料_627" localSheetId="1">財報紅綠燈!#REF!</definedName>
    <definedName name="外部資料_628" localSheetId="1">財報紅綠燈!#REF!</definedName>
    <definedName name="外部資料_629" localSheetId="1">財報紅綠燈!#REF!</definedName>
    <definedName name="外部資料_63" localSheetId="8">PKA!#REF!</definedName>
    <definedName name="外部資料_63" localSheetId="9">PKB!#REF!</definedName>
    <definedName name="外部資料_63" localSheetId="10">PKC!#REF!</definedName>
    <definedName name="外部資料_631" localSheetId="1">財報紅綠燈!#REF!</definedName>
    <definedName name="外部資料_632" localSheetId="1">財報紅綠燈!#REF!</definedName>
    <definedName name="外部資料_633" localSheetId="1">財報紅綠燈!#REF!</definedName>
    <definedName name="外部資料_635" localSheetId="1">財報紅綠燈!#REF!</definedName>
    <definedName name="外部資料_636" localSheetId="1">財報紅綠燈!#REF!</definedName>
    <definedName name="外部資料_637" localSheetId="1">財報紅綠燈!#REF!</definedName>
    <definedName name="外部資料_639" localSheetId="1">財報紅綠燈!#REF!</definedName>
    <definedName name="外部資料_64" localSheetId="8">PKA!#REF!</definedName>
    <definedName name="外部資料_64" localSheetId="9">PKB!#REF!</definedName>
    <definedName name="外部資料_64" localSheetId="10">PKC!#REF!</definedName>
    <definedName name="外部資料_64" localSheetId="1">財報紅綠燈!#REF!</definedName>
    <definedName name="外部資料_640" localSheetId="1">財報紅綠燈!#REF!</definedName>
    <definedName name="外部資料_641" localSheetId="1">財報紅綠燈!#REF!</definedName>
    <definedName name="外部資料_643" localSheetId="1">財報紅綠燈!#REF!</definedName>
    <definedName name="外部資料_644" localSheetId="1">財報紅綠燈!#REF!</definedName>
    <definedName name="外部資料_645" localSheetId="1">財報紅綠燈!#REF!</definedName>
    <definedName name="外部資料_647" localSheetId="1">財報紅綠燈!#REF!</definedName>
    <definedName name="外部資料_648" localSheetId="1">財報紅綠燈!#REF!</definedName>
    <definedName name="外部資料_649" localSheetId="1">財報紅綠燈!#REF!</definedName>
    <definedName name="外部資料_65" localSheetId="8">PKA!#REF!</definedName>
    <definedName name="外部資料_65" localSheetId="9">PKB!#REF!</definedName>
    <definedName name="外部資料_65" localSheetId="10">PKC!#REF!</definedName>
    <definedName name="外部資料_65" localSheetId="1">財報紅綠燈!#REF!</definedName>
    <definedName name="外部資料_651" localSheetId="1">財報紅綠燈!#REF!</definedName>
    <definedName name="外部資料_652" localSheetId="1">財報紅綠燈!#REF!</definedName>
    <definedName name="外部資料_653" localSheetId="1">財報紅綠燈!#REF!</definedName>
    <definedName name="外部資料_655" localSheetId="1">財報紅綠燈!#REF!</definedName>
    <definedName name="外部資料_656" localSheetId="1">財報紅綠燈!#REF!</definedName>
    <definedName name="外部資料_657" localSheetId="1">財報紅綠燈!#REF!</definedName>
    <definedName name="外部資料_659" localSheetId="1">財報紅綠燈!#REF!</definedName>
    <definedName name="外部資料_66" localSheetId="8">PKA!#REF!</definedName>
    <definedName name="外部資料_66" localSheetId="9">PKB!#REF!</definedName>
    <definedName name="外部資料_66" localSheetId="10">PKC!#REF!</definedName>
    <definedName name="外部資料_66" localSheetId="1">財報紅綠燈!#REF!</definedName>
    <definedName name="外部資料_660" localSheetId="1">財報紅綠燈!#REF!</definedName>
    <definedName name="外部資料_661" localSheetId="1">財報紅綠燈!#REF!</definedName>
    <definedName name="外部資料_663" localSheetId="1">財報紅綠燈!#REF!</definedName>
    <definedName name="外部資料_664" localSheetId="1">財報紅綠燈!#REF!</definedName>
    <definedName name="外部資料_665" localSheetId="1">財報紅綠燈!#REF!</definedName>
    <definedName name="外部資料_667" localSheetId="1">財報紅綠燈!#REF!</definedName>
    <definedName name="外部資料_668" localSheetId="1">財報紅綠燈!#REF!</definedName>
    <definedName name="外部資料_669" localSheetId="1">財報紅綠燈!#REF!</definedName>
    <definedName name="外部資料_67" localSheetId="8">PKA!#REF!</definedName>
    <definedName name="外部資料_67" localSheetId="9">PKB!#REF!</definedName>
    <definedName name="外部資料_67" localSheetId="10">PKC!#REF!</definedName>
    <definedName name="外部資料_671" localSheetId="1">財報紅綠燈!#REF!</definedName>
    <definedName name="外部資料_672" localSheetId="1">財報紅綠燈!#REF!</definedName>
    <definedName name="外部資料_673" localSheetId="1">財報紅綠燈!#REF!</definedName>
    <definedName name="外部資料_675" localSheetId="1">財報紅綠燈!#REF!</definedName>
    <definedName name="外部資料_676" localSheetId="1">財報紅綠燈!#REF!</definedName>
    <definedName name="外部資料_677" localSheetId="1">財報紅綠燈!#REF!</definedName>
    <definedName name="外部資料_679" localSheetId="1">財報紅綠燈!#REF!</definedName>
    <definedName name="外部資料_68" localSheetId="8">PKA!#REF!</definedName>
    <definedName name="外部資料_68" localSheetId="9">PKB!#REF!</definedName>
    <definedName name="外部資料_68" localSheetId="10">PKC!#REF!</definedName>
    <definedName name="外部資料_68" localSheetId="1">財報紅綠燈!#REF!</definedName>
    <definedName name="外部資料_680" localSheetId="1">財報紅綠燈!#REF!</definedName>
    <definedName name="外部資料_682" localSheetId="1">財報紅綠燈!#REF!</definedName>
    <definedName name="外部資料_683" localSheetId="1">財報紅綠燈!#REF!</definedName>
    <definedName name="外部資料_684" localSheetId="1">財報紅綠燈!#REF!</definedName>
    <definedName name="外部資料_686" localSheetId="1">財報紅綠燈!#REF!</definedName>
    <definedName name="外部資料_687" localSheetId="1">財報紅綠燈!#REF!</definedName>
    <definedName name="外部資料_688" localSheetId="1">財報紅綠燈!#REF!</definedName>
    <definedName name="外部資料_69" localSheetId="8">PKA!#REF!</definedName>
    <definedName name="外部資料_69" localSheetId="9">PKB!#REF!</definedName>
    <definedName name="外部資料_69" localSheetId="10">PKC!#REF!</definedName>
    <definedName name="外部資料_69" localSheetId="1">財報紅綠燈!#REF!</definedName>
    <definedName name="外部資料_690" localSheetId="1">財報紅綠燈!#REF!</definedName>
    <definedName name="外部資料_691" localSheetId="1">財報紅綠燈!#REF!</definedName>
    <definedName name="外部資料_692" localSheetId="1">財報紅綠燈!#REF!</definedName>
    <definedName name="外部資料_694" localSheetId="1">財報紅綠燈!#REF!</definedName>
    <definedName name="外部資料_695" localSheetId="1">財報紅綠燈!#REF!</definedName>
    <definedName name="外部資料_696" localSheetId="1">財報紅綠燈!#REF!</definedName>
    <definedName name="外部資料_698" localSheetId="1">財報紅綠燈!#REF!</definedName>
    <definedName name="外部資料_699" localSheetId="1">財報紅綠燈!#REF!</definedName>
    <definedName name="外部資料_7" localSheetId="8">PKA!#REF!</definedName>
    <definedName name="外部資料_7" localSheetId="9">PKB!#REF!</definedName>
    <definedName name="外部資料_7" localSheetId="10">PKC!#REF!</definedName>
    <definedName name="外部資料_7" localSheetId="11">PRICE!#REF!</definedName>
    <definedName name="外部資料_7" localSheetId="1">財報紅綠燈!#REF!</definedName>
    <definedName name="外部資料_7" localSheetId="5">評比系統!#REF!</definedName>
    <definedName name="外部資料_7" localSheetId="3">篩股系統!#REF!</definedName>
    <definedName name="外部資料_70" localSheetId="8">PKA!#REF!</definedName>
    <definedName name="外部資料_70" localSheetId="9">PKB!#REF!</definedName>
    <definedName name="外部資料_70" localSheetId="10">PKC!#REF!</definedName>
    <definedName name="外部資料_70" localSheetId="1">財報紅綠燈!#REF!</definedName>
    <definedName name="外部資料_700" localSheetId="1">財報紅綠燈!#REF!</definedName>
    <definedName name="外部資料_702" localSheetId="1">財報紅綠燈!#REF!</definedName>
    <definedName name="外部資料_703" localSheetId="1">財報紅綠燈!#REF!</definedName>
    <definedName name="外部資料_704" localSheetId="1">財報紅綠燈!#REF!</definedName>
    <definedName name="外部資料_706" localSheetId="1">財報紅綠燈!#REF!</definedName>
    <definedName name="外部資料_707" localSheetId="1">財報紅綠燈!#REF!</definedName>
    <definedName name="外部資料_708" localSheetId="1">財報紅綠燈!#REF!</definedName>
    <definedName name="外部資料_71" localSheetId="8">PKA!#REF!</definedName>
    <definedName name="外部資料_71" localSheetId="9">PKB!#REF!</definedName>
    <definedName name="外部資料_71" localSheetId="10">PKC!#REF!</definedName>
    <definedName name="外部資料_710" localSheetId="1">財報紅綠燈!#REF!</definedName>
    <definedName name="外部資料_711" localSheetId="1">財報紅綠燈!#REF!</definedName>
    <definedName name="外部資料_712" localSheetId="1">財報紅綠燈!#REF!</definedName>
    <definedName name="外部資料_714" localSheetId="1">財報紅綠燈!#REF!</definedName>
    <definedName name="外部資料_715" localSheetId="1">財報紅綠燈!#REF!</definedName>
    <definedName name="外部資料_716" localSheetId="1">財報紅綠燈!#REF!</definedName>
    <definedName name="外部資料_718" localSheetId="1">財報紅綠燈!#REF!</definedName>
    <definedName name="外部資料_719" localSheetId="1">財報紅綠燈!#REF!</definedName>
    <definedName name="外部資料_72" localSheetId="8">PKA!#REF!</definedName>
    <definedName name="外部資料_72" localSheetId="9">PKB!#REF!</definedName>
    <definedName name="外部資料_72" localSheetId="10">PKC!#REF!</definedName>
    <definedName name="外部資料_72" localSheetId="1">財報紅綠燈!#REF!</definedName>
    <definedName name="外部資料_720" localSheetId="1">財報紅綠燈!#REF!</definedName>
    <definedName name="外部資料_722" localSheetId="1">財報紅綠燈!#REF!</definedName>
    <definedName name="外部資料_723" localSheetId="1">財報紅綠燈!#REF!</definedName>
    <definedName name="外部資料_724" localSheetId="1">財報紅綠燈!#REF!</definedName>
    <definedName name="外部資料_726" localSheetId="1">財報紅綠燈!#REF!</definedName>
    <definedName name="外部資料_727" localSheetId="1">財報紅綠燈!#REF!</definedName>
    <definedName name="外部資料_728" localSheetId="1">財報紅綠燈!#REF!</definedName>
    <definedName name="外部資料_73" localSheetId="8">PKA!#REF!</definedName>
    <definedName name="外部資料_73" localSheetId="9">PKB!#REF!</definedName>
    <definedName name="外部資料_73" localSheetId="10">PKC!#REF!</definedName>
    <definedName name="外部資料_73" localSheetId="1">財報紅綠燈!#REF!</definedName>
    <definedName name="外部資料_730" localSheetId="1">財報紅綠燈!#REF!</definedName>
    <definedName name="外部資料_731" localSheetId="1">財報紅綠燈!#REF!</definedName>
    <definedName name="外部資料_732" localSheetId="1">財報紅綠燈!#REF!</definedName>
    <definedName name="外部資料_734" localSheetId="1">財報紅綠燈!#REF!</definedName>
    <definedName name="外部資料_735" localSheetId="1">財報紅綠燈!#REF!</definedName>
    <definedName name="外部資料_736" localSheetId="1">財報紅綠燈!#REF!</definedName>
    <definedName name="外部資料_738" localSheetId="1">財報紅綠燈!#REF!</definedName>
    <definedName name="外部資料_739" localSheetId="1">財報紅綠燈!#REF!</definedName>
    <definedName name="外部資料_74" localSheetId="8">PKA!#REF!</definedName>
    <definedName name="外部資料_74" localSheetId="9">PKB!#REF!</definedName>
    <definedName name="外部資料_74" localSheetId="10">PKC!#REF!</definedName>
    <definedName name="外部資料_74" localSheetId="1">財報紅綠燈!#REF!</definedName>
    <definedName name="外部資料_740" localSheetId="1">財報紅綠燈!#REF!</definedName>
    <definedName name="外部資料_742" localSheetId="1">財報紅綠燈!#REF!</definedName>
    <definedName name="外部資料_743" localSheetId="1">財報紅綠燈!#REF!</definedName>
    <definedName name="外部資料_744" localSheetId="1">財報紅綠燈!#REF!</definedName>
    <definedName name="外部資料_746" localSheetId="1">財報紅綠燈!#REF!</definedName>
    <definedName name="外部資料_747" localSheetId="1">財報紅綠燈!#REF!</definedName>
    <definedName name="外部資料_748" localSheetId="1">財報紅綠燈!#REF!</definedName>
    <definedName name="外部資料_75" localSheetId="8">PKA!#REF!</definedName>
    <definedName name="外部資料_75" localSheetId="9">PKB!#REF!</definedName>
    <definedName name="外部資料_75" localSheetId="10">PKC!#REF!</definedName>
    <definedName name="外部資料_750" localSheetId="1">財報紅綠燈!#REF!</definedName>
    <definedName name="外部資料_751" localSheetId="1">財報紅綠燈!#REF!</definedName>
    <definedName name="外部資料_752" localSheetId="1">財報紅綠燈!#REF!</definedName>
    <definedName name="外部資料_754" localSheetId="1">財報紅綠燈!#REF!</definedName>
    <definedName name="外部資料_755" localSheetId="1">財報紅綠燈!#REF!</definedName>
    <definedName name="外部資料_7550" localSheetId="1">財報紅綠燈!#REF!</definedName>
    <definedName name="外部資料_7551" localSheetId="1">財報紅綠燈!#REF!</definedName>
    <definedName name="外部資料_7552" localSheetId="1">財報紅綠燈!#REF!</definedName>
    <definedName name="外部資料_7554" localSheetId="1">財報紅綠燈!#REF!</definedName>
    <definedName name="外部資料_7555" localSheetId="1">財報紅綠燈!#REF!</definedName>
    <definedName name="外部資料_7556" localSheetId="1">財報紅綠燈!#REF!</definedName>
    <definedName name="外部資料_7559" localSheetId="1">財報紅綠燈!#REF!</definedName>
    <definedName name="外部資料_756" localSheetId="1">財報紅綠燈!#REF!</definedName>
    <definedName name="外部資料_7560" localSheetId="1">財報紅綠燈!#REF!</definedName>
    <definedName name="外部資料_7562" localSheetId="1">財報紅綠燈!#REF!</definedName>
    <definedName name="外部資料_7563" localSheetId="1">財報紅綠燈!#REF!</definedName>
    <definedName name="外部資料_7564" localSheetId="1">財報紅綠燈!#REF!</definedName>
    <definedName name="外部資料_7566" localSheetId="1">財報紅綠燈!#REF!</definedName>
    <definedName name="外部資料_7567" localSheetId="1">財報紅綠燈!#REF!</definedName>
    <definedName name="外部資料_7568" localSheetId="1">財報紅綠燈!#REF!</definedName>
    <definedName name="外部資料_7570" localSheetId="1">財報紅綠燈!#REF!</definedName>
    <definedName name="外部資料_7571" localSheetId="1">財報紅綠燈!#REF!</definedName>
    <definedName name="外部資料_7572" localSheetId="1">財報紅綠燈!#REF!</definedName>
    <definedName name="外部資料_7574" localSheetId="1">財報紅綠燈!#REF!</definedName>
    <definedName name="外部資料_7575" localSheetId="1">財報紅綠燈!#REF!</definedName>
    <definedName name="外部資料_7576" localSheetId="1">財報紅綠燈!#REF!</definedName>
    <definedName name="外部資料_7578" localSheetId="1">財報紅綠燈!#REF!</definedName>
    <definedName name="外部資料_7579" localSheetId="1">財報紅綠燈!#REF!</definedName>
    <definedName name="外部資料_758" localSheetId="1">財報紅綠燈!#REF!</definedName>
    <definedName name="外部資料_7580" localSheetId="1">財報紅綠燈!#REF!</definedName>
    <definedName name="外部資料_7582" localSheetId="1">財報紅綠燈!#REF!</definedName>
    <definedName name="外部資料_7583" localSheetId="1">財報紅綠燈!#REF!</definedName>
    <definedName name="外部資料_7585" localSheetId="1">財報紅綠燈!#REF!</definedName>
    <definedName name="外部資料_7586" localSheetId="1">財報紅綠燈!#REF!</definedName>
    <definedName name="外部資料_7587" localSheetId="1">財報紅綠燈!#REF!</definedName>
    <definedName name="外部資料_7589" localSheetId="1">財報紅綠燈!#REF!</definedName>
    <definedName name="外部資料_759" localSheetId="1">財報紅綠燈!#REF!</definedName>
    <definedName name="外部資料_7590" localSheetId="1">財報紅綠燈!#REF!</definedName>
    <definedName name="外部資料_7591" localSheetId="1">財報紅綠燈!#REF!</definedName>
    <definedName name="外部資料_7593" localSheetId="1">財報紅綠燈!#REF!</definedName>
    <definedName name="外部資料_7594" localSheetId="1">財報紅綠燈!#REF!</definedName>
    <definedName name="外部資料_7596" localSheetId="1">財報紅綠燈!#REF!</definedName>
    <definedName name="外部資料_7597" localSheetId="1">財報紅綠燈!#REF!</definedName>
    <definedName name="外部資料_7598" localSheetId="1">財報紅綠燈!#REF!</definedName>
    <definedName name="外部資料_76" localSheetId="8">PKA!#REF!</definedName>
    <definedName name="外部資料_76" localSheetId="9">PKB!#REF!</definedName>
    <definedName name="外部資料_76" localSheetId="10">PKC!#REF!</definedName>
    <definedName name="外部資料_76" localSheetId="1">財報紅綠燈!#REF!</definedName>
    <definedName name="外部資料_760" localSheetId="1">財報紅綠燈!#REF!</definedName>
    <definedName name="外部資料_7600" localSheetId="1">財報紅綠燈!#REF!</definedName>
    <definedName name="外部資料_7601" localSheetId="1">財報紅綠燈!#REF!</definedName>
    <definedName name="外部資料_7602" localSheetId="1">財報紅綠燈!#REF!</definedName>
    <definedName name="外部資料_7604" localSheetId="1">財報紅綠燈!#REF!</definedName>
    <definedName name="外部資料_7605" localSheetId="1">財報紅綠燈!#REF!</definedName>
    <definedName name="外部資料_7606" localSheetId="1">財報紅綠燈!#REF!</definedName>
    <definedName name="外部資料_7608" localSheetId="1">財報紅綠燈!#REF!</definedName>
    <definedName name="外部資料_7609" localSheetId="1">財報紅綠燈!#REF!</definedName>
    <definedName name="外部資料_7610" localSheetId="1">財報紅綠燈!#REF!</definedName>
    <definedName name="外部資料_7612" localSheetId="1">財報紅綠燈!#REF!</definedName>
    <definedName name="外部資料_7613" localSheetId="1">財報紅綠燈!#REF!</definedName>
    <definedName name="外部資料_7614" localSheetId="1">財報紅綠燈!#REF!</definedName>
    <definedName name="外部資料_7616" localSheetId="1">財報紅綠燈!#REF!</definedName>
    <definedName name="外部資料_7617" localSheetId="1">財報紅綠燈!#REF!</definedName>
    <definedName name="外部資料_7618" localSheetId="1">財報紅綠燈!#REF!</definedName>
    <definedName name="外部資料_762" localSheetId="1">財報紅綠燈!#REF!</definedName>
    <definedName name="外部資料_7620" localSheetId="1">財報紅綠燈!#REF!</definedName>
    <definedName name="外部資料_7621" localSheetId="1">財報紅綠燈!#REF!</definedName>
    <definedName name="外部資料_7622" localSheetId="1">財報紅綠燈!#REF!</definedName>
    <definedName name="外部資料_7624" localSheetId="1">財報紅綠燈!#REF!</definedName>
    <definedName name="外部資料_7625" localSheetId="1">財報紅綠燈!#REF!</definedName>
    <definedName name="外部資料_7626" localSheetId="1">財報紅綠燈!#REF!</definedName>
    <definedName name="外部資料_7628" localSheetId="1">財報紅綠燈!#REF!</definedName>
    <definedName name="外部資料_7629" localSheetId="1">財報紅綠燈!#REF!</definedName>
    <definedName name="外部資料_763" localSheetId="1">財報紅綠燈!#REF!</definedName>
    <definedName name="外部資料_7630" localSheetId="1">財報紅綠燈!#REF!</definedName>
    <definedName name="外部資料_7632" localSheetId="1">財報紅綠燈!#REF!</definedName>
    <definedName name="外部資料_7633" localSheetId="1">財報紅綠燈!#REF!</definedName>
    <definedName name="外部資料_7634" localSheetId="1">財報紅綠燈!#REF!</definedName>
    <definedName name="外部資料_7636" localSheetId="1">財報紅綠燈!#REF!</definedName>
    <definedName name="外部資料_7637" localSheetId="1">財報紅綠燈!#REF!</definedName>
    <definedName name="外部資料_7638" localSheetId="1">財報紅綠燈!#REF!</definedName>
    <definedName name="外部資料_764" localSheetId="1">財報紅綠燈!#REF!</definedName>
    <definedName name="外部資料_7640" localSheetId="1">財報紅綠燈!#REF!</definedName>
    <definedName name="外部資料_7641" localSheetId="1">財報紅綠燈!#REF!</definedName>
    <definedName name="外部資料_7642" localSheetId="1">財報紅綠燈!#REF!</definedName>
    <definedName name="外部資料_7644" localSheetId="1">財報紅綠燈!#REF!</definedName>
    <definedName name="外部資料_7645" localSheetId="1">財報紅綠燈!#REF!</definedName>
    <definedName name="外部資料_7646" localSheetId="1">財報紅綠燈!#REF!</definedName>
    <definedName name="外部資料_7648" localSheetId="1">財報紅綠燈!#REF!</definedName>
    <definedName name="外部資料_7649" localSheetId="1">財報紅綠燈!#REF!</definedName>
    <definedName name="外部資料_7650" localSheetId="1">財報紅綠燈!#REF!</definedName>
    <definedName name="外部資料_7652" localSheetId="1">財報紅綠燈!#REF!</definedName>
    <definedName name="外部資料_7653" localSheetId="1">財報紅綠燈!#REF!</definedName>
    <definedName name="外部資料_7654" localSheetId="1">財報紅綠燈!#REF!</definedName>
    <definedName name="外部資料_7656" localSheetId="1">財報紅綠燈!#REF!</definedName>
    <definedName name="外部資料_7657" localSheetId="1">財報紅綠燈!#REF!</definedName>
    <definedName name="外部資料_7658" localSheetId="1">財報紅綠燈!#REF!</definedName>
    <definedName name="外部資料_766" localSheetId="1">財報紅綠燈!#REF!</definedName>
    <definedName name="外部資料_7660" localSheetId="1">財報紅綠燈!#REF!</definedName>
    <definedName name="外部資料_7661" localSheetId="1">財報紅綠燈!#REF!</definedName>
    <definedName name="外部資料_7662" localSheetId="1">財報紅綠燈!#REF!</definedName>
    <definedName name="外部資料_7664" localSheetId="1">財報紅綠燈!#REF!</definedName>
    <definedName name="外部資料_7665" localSheetId="1">財報紅綠燈!#REF!</definedName>
    <definedName name="外部資料_7666" localSheetId="1">財報紅綠燈!#REF!</definedName>
    <definedName name="外部資料_7668" localSheetId="1">財報紅綠燈!#REF!</definedName>
    <definedName name="外部資料_7669" localSheetId="1">財報紅綠燈!#REF!</definedName>
    <definedName name="外部資料_767" localSheetId="1">財報紅綠燈!#REF!</definedName>
    <definedName name="外部資料_7670" localSheetId="1">財報紅綠燈!#REF!</definedName>
    <definedName name="外部資料_7672" localSheetId="1">財報紅綠燈!#REF!</definedName>
    <definedName name="外部資料_7673" localSheetId="1">財報紅綠燈!#REF!</definedName>
    <definedName name="外部資料_7674" localSheetId="1">財報紅綠燈!#REF!</definedName>
    <definedName name="外部資料_7676" localSheetId="1">財報紅綠燈!#REF!</definedName>
    <definedName name="外部資料_7677" localSheetId="1">財報紅綠燈!#REF!</definedName>
    <definedName name="外部資料_7678" localSheetId="1">財報紅綠燈!#REF!</definedName>
    <definedName name="外部資料_768" localSheetId="1">財報紅綠燈!#REF!</definedName>
    <definedName name="外部資料_7680" localSheetId="1">財報紅綠燈!#REF!</definedName>
    <definedName name="外部資料_7681" localSheetId="1">財報紅綠燈!#REF!</definedName>
    <definedName name="外部資料_7682" localSheetId="1">財報紅綠燈!#REF!</definedName>
    <definedName name="外部資料_7684" localSheetId="1">財報紅綠燈!#REF!</definedName>
    <definedName name="外部資料_7685" localSheetId="1">財報紅綠燈!#REF!</definedName>
    <definedName name="外部資料_7687" localSheetId="1">財報紅綠燈!#REF!</definedName>
    <definedName name="外部資料_7688" localSheetId="1">財報紅綠燈!#REF!</definedName>
    <definedName name="外部資料_7689" localSheetId="1">財報紅綠燈!#REF!</definedName>
    <definedName name="外部資料_7691" localSheetId="1">財報紅綠燈!#REF!</definedName>
    <definedName name="外部資料_7692" localSheetId="1">財報紅綠燈!#REF!</definedName>
    <definedName name="外部資料_7693" localSheetId="1">財報紅綠燈!#REF!</definedName>
    <definedName name="外部資料_7695" localSheetId="1">財報紅綠燈!#REF!</definedName>
    <definedName name="外部資料_7696" localSheetId="1">財報紅綠燈!#REF!</definedName>
    <definedName name="外部資料_7697" localSheetId="1">財報紅綠燈!#REF!</definedName>
    <definedName name="外部資料_7699" localSheetId="1">財報紅綠燈!#REF!</definedName>
    <definedName name="外部資料_77" localSheetId="8">PKA!#REF!</definedName>
    <definedName name="外部資料_77" localSheetId="9">PKB!#REF!</definedName>
    <definedName name="外部資料_77" localSheetId="10">PKC!#REF!</definedName>
    <definedName name="外部資料_77" localSheetId="1">財報紅綠燈!#REF!</definedName>
    <definedName name="外部資料_770" localSheetId="1">財報紅綠燈!#REF!</definedName>
    <definedName name="外部資料_7700" localSheetId="1">財報紅綠燈!#REF!</definedName>
    <definedName name="外部資料_7701" localSheetId="1">財報紅綠燈!#REF!</definedName>
    <definedName name="外部資料_7703" localSheetId="1">財報紅綠燈!#REF!</definedName>
    <definedName name="外部資料_7704" localSheetId="1">財報紅綠燈!#REF!</definedName>
    <definedName name="外部資料_7705" localSheetId="1">財報紅綠燈!#REF!</definedName>
    <definedName name="外部資料_7707" localSheetId="1">財報紅綠燈!#REF!</definedName>
    <definedName name="外部資料_7708" localSheetId="1">財報紅綠燈!#REF!</definedName>
    <definedName name="外部資料_7709" localSheetId="1">財報紅綠燈!#REF!</definedName>
    <definedName name="外部資料_771" localSheetId="1">財報紅綠燈!#REF!</definedName>
    <definedName name="外部資料_7711" localSheetId="1">財報紅綠燈!#REF!</definedName>
    <definedName name="外部資料_7712" localSheetId="1">財報紅綠燈!#REF!</definedName>
    <definedName name="外部資料_7713" localSheetId="1">財報紅綠燈!#REF!</definedName>
    <definedName name="外部資料_7715" localSheetId="1">財報紅綠燈!#REF!</definedName>
    <definedName name="外部資料_7716" localSheetId="1">財報紅綠燈!#REF!</definedName>
    <definedName name="外部資料_7717" localSheetId="1">財報紅綠燈!#REF!</definedName>
    <definedName name="外部資料_7719" localSheetId="1">財報紅綠燈!#REF!</definedName>
    <definedName name="外部資料_772" localSheetId="1">財報紅綠燈!#REF!</definedName>
    <definedName name="外部資料_7720" localSheetId="1">財報紅綠燈!#REF!</definedName>
    <definedName name="外部資料_7721" localSheetId="1">財報紅綠燈!#REF!</definedName>
    <definedName name="外部資料_7723" localSheetId="1">財報紅綠燈!#REF!</definedName>
    <definedName name="外部資料_7724" localSheetId="1">財報紅綠燈!#REF!</definedName>
    <definedName name="外部資料_7725" localSheetId="1">財報紅綠燈!#REF!</definedName>
    <definedName name="外部資料_7727" localSheetId="1">財報紅綠燈!#REF!</definedName>
    <definedName name="外部資料_7728" localSheetId="1">財報紅綠燈!#REF!</definedName>
    <definedName name="外部資料_7729" localSheetId="1">財報紅綠燈!#REF!</definedName>
    <definedName name="外部資料_7731" localSheetId="1">財報紅綠燈!#REF!</definedName>
    <definedName name="外部資料_7732" localSheetId="1">財報紅綠燈!#REF!</definedName>
    <definedName name="外部資料_7733" localSheetId="1">財報紅綠燈!#REF!</definedName>
    <definedName name="外部資料_7735" localSheetId="1">財報紅綠燈!#REF!</definedName>
    <definedName name="外部資料_7736" localSheetId="1">財報紅綠燈!#REF!</definedName>
    <definedName name="外部資料_7737" localSheetId="1">財報紅綠燈!#REF!</definedName>
    <definedName name="外部資料_7739" localSheetId="1">財報紅綠燈!#REF!</definedName>
    <definedName name="外部資料_774" localSheetId="1">財報紅綠燈!#REF!</definedName>
    <definedName name="外部資料_7740" localSheetId="1">財報紅綠燈!#REF!</definedName>
    <definedName name="外部資料_7741" localSheetId="1">財報紅綠燈!#REF!</definedName>
    <definedName name="外部資料_7743" localSheetId="1">財報紅綠燈!#REF!</definedName>
    <definedName name="外部資料_7744" localSheetId="1">財報紅綠燈!#REF!</definedName>
    <definedName name="外部資料_7745" localSheetId="1">財報紅綠燈!#REF!</definedName>
    <definedName name="外部資料_7747" localSheetId="1">財報紅綠燈!#REF!</definedName>
    <definedName name="外部資料_7748" localSheetId="1">財報紅綠燈!#REF!</definedName>
    <definedName name="外部資料_7749" localSheetId="1">財報紅綠燈!#REF!</definedName>
    <definedName name="外部資料_775" localSheetId="1">財報紅綠燈!#REF!</definedName>
    <definedName name="外部資料_7751" localSheetId="1">財報紅綠燈!#REF!</definedName>
    <definedName name="外部資料_7752" localSheetId="1">財報紅綠燈!#REF!</definedName>
    <definedName name="外部資料_7753" localSheetId="1">財報紅綠燈!#REF!</definedName>
    <definedName name="外部資料_7755" localSheetId="1">財報紅綠燈!#REF!</definedName>
    <definedName name="外部資料_7756" localSheetId="1">財報紅綠燈!#REF!</definedName>
    <definedName name="外部資料_7757" localSheetId="1">財報紅綠燈!#REF!</definedName>
    <definedName name="外部資料_7759" localSheetId="1">財報紅綠燈!#REF!</definedName>
    <definedName name="外部資料_776" localSheetId="1">財報紅綠燈!#REF!</definedName>
    <definedName name="外部資料_7760" localSheetId="1">財報紅綠燈!#REF!</definedName>
    <definedName name="外部資料_7761" localSheetId="1">財報紅綠燈!#REF!</definedName>
    <definedName name="外部資料_7763" localSheetId="1">財報紅綠燈!#REF!</definedName>
    <definedName name="外部資料_7764" localSheetId="1">財報紅綠燈!#REF!</definedName>
    <definedName name="外部資料_7765" localSheetId="1">財報紅綠燈!#REF!</definedName>
    <definedName name="外部資料_7767" localSheetId="1">財報紅綠燈!#REF!</definedName>
    <definedName name="外部資料_7768" localSheetId="1">財報紅綠燈!#REF!</definedName>
    <definedName name="外部資料_7769" localSheetId="1">財報紅綠燈!#REF!</definedName>
    <definedName name="外部資料_7771" localSheetId="1">財報紅綠燈!#REF!</definedName>
    <definedName name="外部資料_7772" localSheetId="1">財報紅綠燈!#REF!</definedName>
    <definedName name="外部資料_7773" localSheetId="1">財報紅綠燈!#REF!</definedName>
    <definedName name="外部資料_7775" localSheetId="1">財報紅綠燈!#REF!</definedName>
    <definedName name="外部資料_7776" localSheetId="1">財報紅綠燈!#REF!</definedName>
    <definedName name="外部資料_7777" localSheetId="1">財報紅綠燈!#REF!</definedName>
    <definedName name="外部資料_7779" localSheetId="1">財報紅綠燈!#REF!</definedName>
    <definedName name="外部資料_778" localSheetId="1">財報紅綠燈!#REF!</definedName>
    <definedName name="外部資料_7780" localSheetId="1">財報紅綠燈!#REF!</definedName>
    <definedName name="外部資料_7781" localSheetId="1">財報紅綠燈!#REF!</definedName>
    <definedName name="外部資料_7783" localSheetId="1">財報紅綠燈!#REF!</definedName>
    <definedName name="外部資料_7784" localSheetId="1">財報紅綠燈!#REF!</definedName>
    <definedName name="外部資料_7785" localSheetId="1">財報紅綠燈!#REF!</definedName>
    <definedName name="外部資料_7787" localSheetId="1">財報紅綠燈!#REF!</definedName>
    <definedName name="外部資料_7788" localSheetId="1">財報紅綠燈!#REF!</definedName>
    <definedName name="外部資料_7789" localSheetId="1">財報紅綠燈!#REF!</definedName>
    <definedName name="外部資料_779" localSheetId="1">財報紅綠燈!#REF!</definedName>
    <definedName name="外部資料_7791" localSheetId="1">財報紅綠燈!#REF!</definedName>
    <definedName name="外部資料_7792" localSheetId="1">財報紅綠燈!#REF!</definedName>
    <definedName name="外部資料_7793" localSheetId="1">財報紅綠燈!#REF!</definedName>
    <definedName name="外部資料_7795" localSheetId="1">財報紅綠燈!#REF!</definedName>
    <definedName name="外部資料_7796" localSheetId="1">財報紅綠燈!#REF!</definedName>
    <definedName name="外部資料_7797" localSheetId="1">財報紅綠燈!#REF!</definedName>
    <definedName name="外部資料_7799" localSheetId="1">財報紅綠燈!#REF!</definedName>
    <definedName name="外部資料_78" localSheetId="8">PKA!#REF!</definedName>
    <definedName name="外部資料_78" localSheetId="9">PKB!#REF!</definedName>
    <definedName name="外部資料_78" localSheetId="10">PKC!#REF!</definedName>
    <definedName name="外部資料_78" localSheetId="1">財報紅綠燈!#REF!</definedName>
    <definedName name="外部資料_780" localSheetId="1">財報紅綠燈!#REF!</definedName>
    <definedName name="外部資料_7800" localSheetId="1">財報紅綠燈!#REF!</definedName>
    <definedName name="外部資料_7801" localSheetId="1">財報紅綠燈!#REF!</definedName>
    <definedName name="外部資料_7803" localSheetId="1">財報紅綠燈!#REF!</definedName>
    <definedName name="外部資料_7804" localSheetId="1">財報紅綠燈!#REF!</definedName>
    <definedName name="外部資料_7805" localSheetId="1">財報紅綠燈!#REF!</definedName>
    <definedName name="外部資料_7807" localSheetId="1">財報紅綠燈!#REF!</definedName>
    <definedName name="外部資料_7808" localSheetId="1">財報紅綠燈!#REF!</definedName>
    <definedName name="外部資料_7809" localSheetId="1">財報紅綠燈!#REF!</definedName>
    <definedName name="外部資料_7811" localSheetId="1">財報紅綠燈!#REF!</definedName>
    <definedName name="外部資料_7812" localSheetId="1">財報紅綠燈!#REF!</definedName>
    <definedName name="外部資料_7813" localSheetId="1">財報紅綠燈!#REF!</definedName>
    <definedName name="外部資料_7815" localSheetId="1">財報紅綠燈!#REF!</definedName>
    <definedName name="外部資料_7816" localSheetId="1">財報紅綠燈!#REF!</definedName>
    <definedName name="外部資料_7817" localSheetId="1">財報紅綠燈!#REF!</definedName>
    <definedName name="外部資料_7819" localSheetId="1">財報紅綠燈!#REF!</definedName>
    <definedName name="外部資料_782" localSheetId="1">財報紅綠燈!#REF!</definedName>
    <definedName name="外部資料_7820" localSheetId="1">財報紅綠燈!#REF!</definedName>
    <definedName name="外部資料_7821" localSheetId="1">財報紅綠燈!#REF!</definedName>
    <definedName name="外部資料_7823" localSheetId="1">財報紅綠燈!#REF!</definedName>
    <definedName name="外部資料_7824" localSheetId="1">財報紅綠燈!#REF!</definedName>
    <definedName name="外部資料_7825" localSheetId="1">財報紅綠燈!#REF!</definedName>
    <definedName name="外部資料_7827" localSheetId="1">財報紅綠燈!#REF!</definedName>
    <definedName name="外部資料_7828" localSheetId="1">財報紅綠燈!#REF!</definedName>
    <definedName name="外部資料_7829" localSheetId="1">財報紅綠燈!#REF!</definedName>
    <definedName name="外部資料_783" localSheetId="1">財報紅綠燈!#REF!</definedName>
    <definedName name="外部資料_7831" localSheetId="1">財報紅綠燈!#REF!</definedName>
    <definedName name="外部資料_7832" localSheetId="1">財報紅綠燈!#REF!</definedName>
    <definedName name="外部資料_7833" localSheetId="1">財報紅綠燈!#REF!</definedName>
    <definedName name="外部資料_7835" localSheetId="1">財報紅綠燈!#REF!</definedName>
    <definedName name="外部資料_7836" localSheetId="1">財報紅綠燈!#REF!</definedName>
    <definedName name="外部資料_7837" localSheetId="1">財報紅綠燈!#REF!</definedName>
    <definedName name="外部資料_7839" localSheetId="1">財報紅綠燈!#REF!</definedName>
    <definedName name="外部資料_784" localSheetId="1">財報紅綠燈!#REF!</definedName>
    <definedName name="外部資料_7840" localSheetId="1">財報紅綠燈!#REF!</definedName>
    <definedName name="外部資料_7841" localSheetId="1">財報紅綠燈!#REF!</definedName>
    <definedName name="外部資料_7843" localSheetId="1">財報紅綠燈!#REF!</definedName>
    <definedName name="外部資料_7844" localSheetId="1">財報紅綠燈!#REF!</definedName>
    <definedName name="外部資料_7845" localSheetId="1">財報紅綠燈!#REF!</definedName>
    <definedName name="外部資料_7847" localSheetId="1">財報紅綠燈!#REF!</definedName>
    <definedName name="外部資料_7848" localSheetId="1">財報紅綠燈!#REF!</definedName>
    <definedName name="外部資料_7849" localSheetId="1">財報紅綠燈!#REF!</definedName>
    <definedName name="外部資料_7851" localSheetId="1">財報紅綠燈!#REF!</definedName>
    <definedName name="外部資料_7852" localSheetId="1">財報紅綠燈!#REF!</definedName>
    <definedName name="外部資料_7853" localSheetId="1">財報紅綠燈!#REF!</definedName>
    <definedName name="外部資料_7855" localSheetId="1">財報紅綠燈!#REF!</definedName>
    <definedName name="外部資料_7856" localSheetId="1">財報紅綠燈!#REF!</definedName>
    <definedName name="外部資料_7857" localSheetId="1">財報紅綠燈!#REF!</definedName>
    <definedName name="外部資料_7859" localSheetId="1">財報紅綠燈!#REF!</definedName>
    <definedName name="外部資料_786" localSheetId="1">財報紅綠燈!#REF!</definedName>
    <definedName name="外部資料_7860" localSheetId="1">財報紅綠燈!#REF!</definedName>
    <definedName name="外部資料_7861" localSheetId="1">財報紅綠燈!#REF!</definedName>
    <definedName name="外部資料_7863" localSheetId="1">財報紅綠燈!#REF!</definedName>
    <definedName name="外部資料_7864" localSheetId="1">財報紅綠燈!#REF!</definedName>
    <definedName name="外部資料_7865" localSheetId="1">財報紅綠燈!#REF!</definedName>
    <definedName name="外部資料_7867" localSheetId="1">財報紅綠燈!#REF!</definedName>
    <definedName name="外部資料_7868" localSheetId="1">財報紅綠燈!#REF!</definedName>
    <definedName name="外部資料_7869" localSheetId="1">財報紅綠燈!#REF!</definedName>
    <definedName name="外部資料_787" localSheetId="1">財報紅綠燈!#REF!</definedName>
    <definedName name="外部資料_7871" localSheetId="1">財報紅綠燈!#REF!</definedName>
    <definedName name="外部資料_7872" localSheetId="1">財報紅綠燈!#REF!</definedName>
    <definedName name="外部資料_7873" localSheetId="1">財報紅綠燈!#REF!</definedName>
    <definedName name="外部資料_7875" localSheetId="1">財報紅綠燈!#REF!</definedName>
    <definedName name="外部資料_7876" localSheetId="1">財報紅綠燈!#REF!</definedName>
    <definedName name="外部資料_7877" localSheetId="1">財報紅綠燈!#REF!</definedName>
    <definedName name="外部資料_7879" localSheetId="1">財報紅綠燈!#REF!</definedName>
    <definedName name="外部資料_788" localSheetId="1">財報紅綠燈!#REF!</definedName>
    <definedName name="外部資料_7880" localSheetId="1">財報紅綠燈!#REF!</definedName>
    <definedName name="外部資料_7881" localSheetId="1">財報紅綠燈!#REF!</definedName>
    <definedName name="外部資料_7883" localSheetId="1">財報紅綠燈!#REF!</definedName>
    <definedName name="外部資料_7884" localSheetId="1">財報紅綠燈!#REF!</definedName>
    <definedName name="外部資料_7885" localSheetId="1">財報紅綠燈!#REF!</definedName>
    <definedName name="外部資料_7887" localSheetId="1">財報紅綠燈!#REF!</definedName>
    <definedName name="外部資料_7888" localSheetId="1">財報紅綠燈!#REF!</definedName>
    <definedName name="外部資料_7889" localSheetId="1">財報紅綠燈!#REF!</definedName>
    <definedName name="外部資料_7891" localSheetId="1">財報紅綠燈!#REF!</definedName>
    <definedName name="外部資料_7892" localSheetId="1">財報紅綠燈!#REF!</definedName>
    <definedName name="外部資料_7893" localSheetId="1">財報紅綠燈!#REF!</definedName>
    <definedName name="外部資料_7895" localSheetId="1">財報紅綠燈!#REF!</definedName>
    <definedName name="外部資料_7896" localSheetId="1">財報紅綠燈!#REF!</definedName>
    <definedName name="外部資料_7897" localSheetId="1">財報紅綠燈!#REF!</definedName>
    <definedName name="外部資料_7899" localSheetId="1">財報紅綠燈!#REF!</definedName>
    <definedName name="外部資料_79" localSheetId="8">PKA!#REF!</definedName>
    <definedName name="外部資料_79" localSheetId="9">PKB!#REF!</definedName>
    <definedName name="外部資料_79" localSheetId="10">PKC!#REF!</definedName>
    <definedName name="外部資料_790" localSheetId="1">財報紅綠燈!#REF!</definedName>
    <definedName name="外部資料_7900" localSheetId="1">財報紅綠燈!#REF!</definedName>
    <definedName name="外部資料_7901" localSheetId="1">財報紅綠燈!#REF!</definedName>
    <definedName name="外部資料_7903" localSheetId="1">財報紅綠燈!#REF!</definedName>
    <definedName name="外部資料_7904" localSheetId="1">財報紅綠燈!#REF!</definedName>
    <definedName name="外部資料_7905" localSheetId="1">財報紅綠燈!#REF!</definedName>
    <definedName name="外部資料_7907" localSheetId="1">財報紅綠燈!#REF!</definedName>
    <definedName name="外部資料_7908" localSheetId="1">財報紅綠燈!#REF!</definedName>
    <definedName name="外部資料_7909" localSheetId="1">財報紅綠燈!#REF!</definedName>
    <definedName name="外部資料_791" localSheetId="1">財報紅綠燈!#REF!</definedName>
    <definedName name="外部資料_7911" localSheetId="1">財報紅綠燈!#REF!</definedName>
    <definedName name="外部資料_7912" localSheetId="1">財報紅綠燈!#REF!</definedName>
    <definedName name="外部資料_7913" localSheetId="1">財報紅綠燈!#REF!</definedName>
    <definedName name="外部資料_7915" localSheetId="1">財報紅綠燈!#REF!</definedName>
    <definedName name="外部資料_7916" localSheetId="1">財報紅綠燈!#REF!</definedName>
    <definedName name="外部資料_7917" localSheetId="1">財報紅綠燈!#REF!</definedName>
    <definedName name="外部資料_7919" localSheetId="1">財報紅綠燈!#REF!</definedName>
    <definedName name="外部資料_792" localSheetId="1">財報紅綠燈!#REF!</definedName>
    <definedName name="外部資料_7920" localSheetId="1">財報紅綠燈!#REF!</definedName>
    <definedName name="外部資料_7921" localSheetId="1">財報紅綠燈!#REF!</definedName>
    <definedName name="外部資料_7923" localSheetId="1">財報紅綠燈!#REF!</definedName>
    <definedName name="外部資料_7924" localSheetId="1">財報紅綠燈!#REF!</definedName>
    <definedName name="外部資料_7925" localSheetId="1">財報紅綠燈!#REF!</definedName>
    <definedName name="外部資料_7927" localSheetId="1">財報紅綠燈!#REF!</definedName>
    <definedName name="外部資料_7928" localSheetId="1">財報紅綠燈!#REF!</definedName>
    <definedName name="外部資料_7929" localSheetId="1">財報紅綠燈!#REF!</definedName>
    <definedName name="外部資料_7931" localSheetId="1">財報紅綠燈!#REF!</definedName>
    <definedName name="外部資料_7932" localSheetId="1">財報紅綠燈!#REF!</definedName>
    <definedName name="外部資料_7933" localSheetId="1">財報紅綠燈!#REF!</definedName>
    <definedName name="外部資料_7935" localSheetId="1">財報紅綠燈!#REF!</definedName>
    <definedName name="外部資料_7936" localSheetId="1">財報紅綠燈!#REF!</definedName>
    <definedName name="外部資料_7937" localSheetId="1">財報紅綠燈!#REF!</definedName>
    <definedName name="外部資料_7939" localSheetId="1">財報紅綠燈!#REF!</definedName>
    <definedName name="外部資料_794" localSheetId="1">財報紅綠燈!#REF!</definedName>
    <definedName name="外部資料_7940" localSheetId="1">財報紅綠燈!#REF!</definedName>
    <definedName name="外部資料_7941" localSheetId="1">財報紅綠燈!#REF!</definedName>
    <definedName name="外部資料_7943" localSheetId="1">財報紅綠燈!#REF!</definedName>
    <definedName name="外部資料_7944" localSheetId="1">財報紅綠燈!#REF!</definedName>
    <definedName name="外部資料_7945" localSheetId="1">財報紅綠燈!#REF!</definedName>
    <definedName name="外部資料_7947" localSheetId="1">財報紅綠燈!#REF!</definedName>
    <definedName name="外部資料_7948" localSheetId="1">財報紅綠燈!#REF!</definedName>
    <definedName name="外部資料_7949" localSheetId="1">財報紅綠燈!#REF!</definedName>
    <definedName name="外部資料_795" localSheetId="1">財報紅綠燈!#REF!</definedName>
    <definedName name="外部資料_7951" localSheetId="1">財報紅綠燈!#REF!</definedName>
    <definedName name="外部資料_7952" localSheetId="1">財報紅綠燈!#REF!</definedName>
    <definedName name="外部資料_7953" localSheetId="1">財報紅綠燈!#REF!</definedName>
    <definedName name="外部資料_7955" localSheetId="1">財報紅綠燈!#REF!</definedName>
    <definedName name="外部資料_7956" localSheetId="1">財報紅綠燈!#REF!</definedName>
    <definedName name="外部資料_7957" localSheetId="1">財報紅綠燈!#REF!</definedName>
    <definedName name="外部資料_7959" localSheetId="1">財報紅綠燈!#REF!</definedName>
    <definedName name="外部資料_796" localSheetId="1">財報紅綠燈!#REF!</definedName>
    <definedName name="外部資料_7960" localSheetId="1">財報紅綠燈!#REF!</definedName>
    <definedName name="外部資料_7961" localSheetId="1">財報紅綠燈!#REF!</definedName>
    <definedName name="外部資料_7963" localSheetId="1">財報紅綠燈!#REF!</definedName>
    <definedName name="外部資料_7964" localSheetId="1">財報紅綠燈!#REF!</definedName>
    <definedName name="外部資料_7965" localSheetId="1">財報紅綠燈!#REF!</definedName>
    <definedName name="外部資料_7967" localSheetId="1">財報紅綠燈!#REF!</definedName>
    <definedName name="外部資料_7968" localSheetId="1">財報紅綠燈!#REF!</definedName>
    <definedName name="外部資料_7969" localSheetId="1">財報紅綠燈!#REF!</definedName>
    <definedName name="外部資料_7971" localSheetId="1">財報紅綠燈!#REF!</definedName>
    <definedName name="外部資料_7972" localSheetId="1">財報紅綠燈!#REF!</definedName>
    <definedName name="外部資料_7973" localSheetId="1">財報紅綠燈!#REF!</definedName>
    <definedName name="外部資料_7975" localSheetId="1">財報紅綠燈!#REF!</definedName>
    <definedName name="外部資料_7976" localSheetId="1">財報紅綠燈!#REF!</definedName>
    <definedName name="外部資料_7977" localSheetId="1">財報紅綠燈!#REF!</definedName>
    <definedName name="外部資料_7979" localSheetId="1">財報紅綠燈!#REF!</definedName>
    <definedName name="外部資料_798" localSheetId="1">財報紅綠燈!#REF!</definedName>
    <definedName name="外部資料_7980" localSheetId="1">財報紅綠燈!#REF!</definedName>
    <definedName name="外部資料_7981" localSheetId="1">財報紅綠燈!#REF!</definedName>
    <definedName name="外部資料_7983" localSheetId="1">財報紅綠燈!#REF!</definedName>
    <definedName name="外部資料_7984" localSheetId="1">財報紅綠燈!#REF!</definedName>
    <definedName name="外部資料_7985" localSheetId="1">財報紅綠燈!#REF!</definedName>
    <definedName name="外部資料_7987" localSheetId="1">財報紅綠燈!#REF!</definedName>
    <definedName name="外部資料_7988" localSheetId="1">財報紅綠燈!#REF!</definedName>
    <definedName name="外部資料_7989" localSheetId="1">財報紅綠燈!#REF!</definedName>
    <definedName name="外部資料_799" localSheetId="1">財報紅綠燈!#REF!</definedName>
    <definedName name="外部資料_7991" localSheetId="1">財報紅綠燈!#REF!</definedName>
    <definedName name="外部資料_7992" localSheetId="1">財報紅綠燈!#REF!</definedName>
    <definedName name="外部資料_7993" localSheetId="1">財報紅綠燈!#REF!</definedName>
    <definedName name="外部資料_7995" localSheetId="1">財報紅綠燈!#REF!</definedName>
    <definedName name="外部資料_7996" localSheetId="1">財報紅綠燈!#REF!</definedName>
    <definedName name="外部資料_7997" localSheetId="1">財報紅綠燈!#REF!</definedName>
    <definedName name="外部資料_7999" localSheetId="1">財報紅綠燈!#REF!</definedName>
    <definedName name="外部資料_8" localSheetId="8">PKA!#REF!</definedName>
    <definedName name="外部資料_8" localSheetId="9">PKB!#REF!</definedName>
    <definedName name="外部資料_8" localSheetId="10">PKC!#REF!</definedName>
    <definedName name="外部資料_8" localSheetId="1">財報紅綠燈!#REF!</definedName>
    <definedName name="外部資料_8" localSheetId="5">評比系統!#REF!</definedName>
    <definedName name="外部資料_8" localSheetId="3">篩股系統!#REF!</definedName>
    <definedName name="外部資料_80" localSheetId="8">PKA!#REF!</definedName>
    <definedName name="外部資料_80" localSheetId="9">PKB!#REF!</definedName>
    <definedName name="外部資料_80" localSheetId="10">PKC!#REF!</definedName>
    <definedName name="外部資料_80" localSheetId="1">財報紅綠燈!#REF!</definedName>
    <definedName name="外部資料_800" localSheetId="1">財報紅綠燈!#REF!</definedName>
    <definedName name="外部資料_8000" localSheetId="1">財報紅綠燈!#REF!</definedName>
    <definedName name="外部資料_8001" localSheetId="1">財報紅綠燈!#REF!</definedName>
    <definedName name="外部資料_8003" localSheetId="1">財報紅綠燈!#REF!</definedName>
    <definedName name="外部資料_8004" localSheetId="1">財報紅綠燈!#REF!</definedName>
    <definedName name="外部資料_8005" localSheetId="1">財報紅綠燈!#REF!</definedName>
    <definedName name="外部資料_8007" localSheetId="1">財報紅綠燈!#REF!</definedName>
    <definedName name="外部資料_8008" localSheetId="1">財報紅綠燈!#REF!</definedName>
    <definedName name="外部資料_8009" localSheetId="1">財報紅綠燈!#REF!</definedName>
    <definedName name="外部資料_8011" localSheetId="1">財報紅綠燈!#REF!</definedName>
    <definedName name="外部資料_8012" localSheetId="1">財報紅綠燈!#REF!</definedName>
    <definedName name="外部資料_8013" localSheetId="1">財報紅綠燈!#REF!</definedName>
    <definedName name="外部資料_8015" localSheetId="1">財報紅綠燈!#REF!</definedName>
    <definedName name="外部資料_8016" localSheetId="1">財報紅綠燈!#REF!</definedName>
    <definedName name="外部資料_8017" localSheetId="1">財報紅綠燈!#REF!</definedName>
    <definedName name="外部資料_8019" localSheetId="1">財報紅綠燈!#REF!</definedName>
    <definedName name="外部資料_802" localSheetId="1">財報紅綠燈!#REF!</definedName>
    <definedName name="外部資料_8020" localSheetId="1">財報紅綠燈!#REF!</definedName>
    <definedName name="外部資料_8021" localSheetId="1">財報紅綠燈!#REF!</definedName>
    <definedName name="外部資料_8023" localSheetId="1">財報紅綠燈!#REF!</definedName>
    <definedName name="外部資料_8024" localSheetId="1">財報紅綠燈!#REF!</definedName>
    <definedName name="外部資料_8025" localSheetId="1">財報紅綠燈!#REF!</definedName>
    <definedName name="外部資料_8027" localSheetId="1">財報紅綠燈!#REF!</definedName>
    <definedName name="外部資料_8028" localSheetId="1">財報紅綠燈!#REF!</definedName>
    <definedName name="外部資料_8029" localSheetId="1">財報紅綠燈!#REF!</definedName>
    <definedName name="外部資料_803" localSheetId="1">財報紅綠燈!#REF!</definedName>
    <definedName name="外部資料_8031" localSheetId="1">財報紅綠燈!#REF!</definedName>
    <definedName name="外部資料_8032" localSheetId="1">財報紅綠燈!#REF!</definedName>
    <definedName name="外部資料_8033" localSheetId="1">財報紅綠燈!#REF!</definedName>
    <definedName name="外部資料_8035" localSheetId="1">財報紅綠燈!#REF!</definedName>
    <definedName name="外部資料_8036" localSheetId="1">財報紅綠燈!#REF!</definedName>
    <definedName name="外部資料_8037" localSheetId="1">財報紅綠燈!#REF!</definedName>
    <definedName name="外部資料_8039" localSheetId="1">財報紅綠燈!#REF!</definedName>
    <definedName name="外部資料_804" localSheetId="1">財報紅綠燈!#REF!</definedName>
    <definedName name="外部資料_8040" localSheetId="1">財報紅綠燈!#REF!</definedName>
    <definedName name="外部資料_8041" localSheetId="1">財報紅綠燈!#REF!</definedName>
    <definedName name="外部資料_8043" localSheetId="1">財報紅綠燈!#REF!</definedName>
    <definedName name="外部資料_8044" localSheetId="1">財報紅綠燈!#REF!</definedName>
    <definedName name="外部資料_8045" localSheetId="1">財報紅綠燈!#REF!</definedName>
    <definedName name="外部資料_8047" localSheetId="1">財報紅綠燈!#REF!</definedName>
    <definedName name="外部資料_8048" localSheetId="1">財報紅綠燈!#REF!</definedName>
    <definedName name="外部資料_8049" localSheetId="1">財報紅綠燈!#REF!</definedName>
    <definedName name="外部資料_8051" localSheetId="1">財報紅綠燈!#REF!</definedName>
    <definedName name="外部資料_8052" localSheetId="1">財報紅綠燈!#REF!</definedName>
    <definedName name="外部資料_8053" localSheetId="1">財報紅綠燈!#REF!</definedName>
    <definedName name="外部資料_8055" localSheetId="1">財報紅綠燈!#REF!</definedName>
    <definedName name="外部資料_8056" localSheetId="1">財報紅綠燈!#REF!</definedName>
    <definedName name="外部資料_8057" localSheetId="1">財報紅綠燈!#REF!</definedName>
    <definedName name="外部資料_8059" localSheetId="1">財報紅綠燈!#REF!</definedName>
    <definedName name="外部資料_806" localSheetId="1">財報紅綠燈!#REF!</definedName>
    <definedName name="外部資料_8060" localSheetId="1">財報紅綠燈!#REF!</definedName>
    <definedName name="外部資料_8061" localSheetId="1">財報紅綠燈!#REF!</definedName>
    <definedName name="外部資料_8063" localSheetId="1">財報紅綠燈!#REF!</definedName>
    <definedName name="外部資料_8064" localSheetId="1">財報紅綠燈!#REF!</definedName>
    <definedName name="外部資料_8065" localSheetId="1">財報紅綠燈!#REF!</definedName>
    <definedName name="外部資料_8067" localSheetId="1">財報紅綠燈!#REF!</definedName>
    <definedName name="外部資料_8068" localSheetId="1">財報紅綠燈!#REF!</definedName>
    <definedName name="外部資料_8069" localSheetId="1">財報紅綠燈!#REF!</definedName>
    <definedName name="外部資料_807" localSheetId="1">財報紅綠燈!#REF!</definedName>
    <definedName name="外部資料_8071" localSheetId="1">財報紅綠燈!#REF!</definedName>
    <definedName name="外部資料_8072" localSheetId="1">財報紅綠燈!#REF!</definedName>
    <definedName name="外部資料_8073" localSheetId="1">財報紅綠燈!#REF!</definedName>
    <definedName name="外部資料_8075" localSheetId="1">財報紅綠燈!#REF!</definedName>
    <definedName name="外部資料_8076" localSheetId="1">財報紅綠燈!#REF!</definedName>
    <definedName name="外部資料_8077" localSheetId="1">財報紅綠燈!#REF!</definedName>
    <definedName name="外部資料_8079" localSheetId="1">財報紅綠燈!#REF!</definedName>
    <definedName name="外部資料_808" localSheetId="1">財報紅綠燈!#REF!</definedName>
    <definedName name="外部資料_8080" localSheetId="1">財報紅綠燈!#REF!</definedName>
    <definedName name="外部資料_8081" localSheetId="1">財報紅綠燈!#REF!</definedName>
    <definedName name="外部資料_8083" localSheetId="1">財報紅綠燈!#REF!</definedName>
    <definedName name="外部資料_8084" localSheetId="1">財報紅綠燈!#REF!</definedName>
    <definedName name="外部資料_8085" localSheetId="1">財報紅綠燈!#REF!</definedName>
    <definedName name="外部資料_8087" localSheetId="1">財報紅綠燈!#REF!</definedName>
    <definedName name="外部資料_8088" localSheetId="1">財報紅綠燈!#REF!</definedName>
    <definedName name="外部資料_8089" localSheetId="1">財報紅綠燈!#REF!</definedName>
    <definedName name="外部資料_8091" localSheetId="1">財報紅綠燈!#REF!</definedName>
    <definedName name="外部資料_8092" localSheetId="1">財報紅綠燈!#REF!</definedName>
    <definedName name="外部資料_8093" localSheetId="1">財報紅綠燈!#REF!</definedName>
    <definedName name="外部資料_8095" localSheetId="1">財報紅綠燈!#REF!</definedName>
    <definedName name="外部資料_8096" localSheetId="1">財報紅綠燈!#REF!</definedName>
    <definedName name="外部資料_8097" localSheetId="1">財報紅綠燈!#REF!</definedName>
    <definedName name="外部資料_8099" localSheetId="1">財報紅綠燈!#REF!</definedName>
    <definedName name="外部資料_81" localSheetId="8">PKA!#REF!</definedName>
    <definedName name="外部資料_81" localSheetId="9">PKB!#REF!</definedName>
    <definedName name="外部資料_81" localSheetId="10">PKC!#REF!</definedName>
    <definedName name="外部資料_81" localSheetId="1">財報紅綠燈!#REF!</definedName>
    <definedName name="外部資料_810" localSheetId="1">財報紅綠燈!#REF!</definedName>
    <definedName name="外部資料_8100" localSheetId="1">財報紅綠燈!#REF!</definedName>
    <definedName name="外部資料_8101" localSheetId="1">財報紅綠燈!#REF!</definedName>
    <definedName name="外部資料_8103" localSheetId="1">財報紅綠燈!#REF!</definedName>
    <definedName name="外部資料_8104" localSheetId="1">財報紅綠燈!#REF!</definedName>
    <definedName name="外部資料_8105" localSheetId="1">財報紅綠燈!#REF!</definedName>
    <definedName name="外部資料_8107" localSheetId="1">財報紅綠燈!#REF!</definedName>
    <definedName name="外部資料_8108" localSheetId="1">財報紅綠燈!#REF!</definedName>
    <definedName name="外部資料_8109" localSheetId="1">財報紅綠燈!#REF!</definedName>
    <definedName name="外部資料_811" localSheetId="1">財報紅綠燈!#REF!</definedName>
    <definedName name="外部資料_8111" localSheetId="1">財報紅綠燈!#REF!</definedName>
    <definedName name="外部資料_8112" localSheetId="1">財報紅綠燈!#REF!</definedName>
    <definedName name="外部資料_8113" localSheetId="1">財報紅綠燈!#REF!</definedName>
    <definedName name="外部資料_8115" localSheetId="1">財報紅綠燈!#REF!</definedName>
    <definedName name="外部資料_8116" localSheetId="1">財報紅綠燈!#REF!</definedName>
    <definedName name="外部資料_8117" localSheetId="1">財報紅綠燈!#REF!</definedName>
    <definedName name="外部資料_8119" localSheetId="1">財報紅綠燈!#REF!</definedName>
    <definedName name="外部資料_812" localSheetId="1">財報紅綠燈!#REF!</definedName>
    <definedName name="外部資料_8120" localSheetId="1">財報紅綠燈!#REF!</definedName>
    <definedName name="外部資料_8121" localSheetId="1">財報紅綠燈!#REF!</definedName>
    <definedName name="外部資料_8123" localSheetId="1">財報紅綠燈!#REF!</definedName>
    <definedName name="外部資料_8124" localSheetId="1">財報紅綠燈!#REF!</definedName>
    <definedName name="外部資料_8125" localSheetId="1">財報紅綠燈!#REF!</definedName>
    <definedName name="外部資料_8127" localSheetId="1">財報紅綠燈!#REF!</definedName>
    <definedName name="外部資料_8128" localSheetId="1">財報紅綠燈!#REF!</definedName>
    <definedName name="外部資料_8130" localSheetId="1">財報紅綠燈!#REF!</definedName>
    <definedName name="外部資料_8131" localSheetId="1">財報紅綠燈!#REF!</definedName>
    <definedName name="外部資料_8132" localSheetId="1">財報紅綠燈!#REF!</definedName>
    <definedName name="外部資料_8134" localSheetId="1">財報紅綠燈!#REF!</definedName>
    <definedName name="外部資料_8135" localSheetId="1">財報紅綠燈!#REF!</definedName>
    <definedName name="外部資料_8136" localSheetId="1">財報紅綠燈!#REF!</definedName>
    <definedName name="外部資料_8138" localSheetId="1">財報紅綠燈!#REF!</definedName>
    <definedName name="外部資料_8139" localSheetId="1">財報紅綠燈!#REF!</definedName>
    <definedName name="外部資料_814" localSheetId="1">財報紅綠燈!#REF!</definedName>
    <definedName name="外部資料_8140" localSheetId="1">財報紅綠燈!#REF!</definedName>
    <definedName name="外部資料_8142" localSheetId="1">財報紅綠燈!#REF!</definedName>
    <definedName name="外部資料_8143" localSheetId="1">財報紅綠燈!#REF!</definedName>
    <definedName name="外部資料_8145" localSheetId="1">財報紅綠燈!#REF!</definedName>
    <definedName name="外部資料_8146" localSheetId="1">財報紅綠燈!#REF!</definedName>
    <definedName name="外部資料_8147" localSheetId="1">財報紅綠燈!#REF!</definedName>
    <definedName name="外部資料_8149" localSheetId="1">財報紅綠燈!#REF!</definedName>
    <definedName name="外部資料_815" localSheetId="1">財報紅綠燈!#REF!</definedName>
    <definedName name="外部資料_8150" localSheetId="1">財報紅綠燈!#REF!</definedName>
    <definedName name="外部資料_8151" localSheetId="1">財報紅綠燈!#REF!</definedName>
    <definedName name="外部資料_8153" localSheetId="1">財報紅綠燈!#REF!</definedName>
    <definedName name="外部資料_8154" localSheetId="1">財報紅綠燈!#REF!</definedName>
    <definedName name="外部資料_8155" localSheetId="1">財報紅綠燈!#REF!</definedName>
    <definedName name="外部資料_8157" localSheetId="1">財報紅綠燈!#REF!</definedName>
    <definedName name="外部資料_8158" localSheetId="1">財報紅綠燈!#REF!</definedName>
    <definedName name="外部資料_8159" localSheetId="1">財報紅綠燈!#REF!</definedName>
    <definedName name="外部資料_816" localSheetId="1">財報紅綠燈!#REF!</definedName>
    <definedName name="外部資料_8161" localSheetId="1">財報紅綠燈!#REF!</definedName>
    <definedName name="外部資料_8162" localSheetId="1">財報紅綠燈!#REF!</definedName>
    <definedName name="外部資料_8163" localSheetId="1">財報紅綠燈!#REF!</definedName>
    <definedName name="外部資料_8165" localSheetId="1">財報紅綠燈!#REF!</definedName>
    <definedName name="外部資料_8166" localSheetId="1">財報紅綠燈!#REF!</definedName>
    <definedName name="外部資料_8167" localSheetId="1">財報紅綠燈!#REF!</definedName>
    <definedName name="外部資料_8169" localSheetId="1">財報紅綠燈!#REF!</definedName>
    <definedName name="外部資料_8170" localSheetId="1">財報紅綠燈!#REF!</definedName>
    <definedName name="外部資料_8171" localSheetId="1">財報紅綠燈!#REF!</definedName>
    <definedName name="外部資料_8173" localSheetId="1">財報紅綠燈!#REF!</definedName>
    <definedName name="外部資料_8174" localSheetId="1">財報紅綠燈!#REF!</definedName>
    <definedName name="外部資料_8175" localSheetId="1">財報紅綠燈!#REF!</definedName>
    <definedName name="外部資料_8177" localSheetId="1">財報紅綠燈!#REF!</definedName>
    <definedName name="外部資料_8178" localSheetId="1">財報紅綠燈!#REF!</definedName>
    <definedName name="外部資料_8179" localSheetId="1">財報紅綠燈!#REF!</definedName>
    <definedName name="外部資料_818" localSheetId="1">財報紅綠燈!#REF!</definedName>
    <definedName name="外部資料_8181" localSheetId="1">財報紅綠燈!#REF!</definedName>
    <definedName name="外部資料_8182" localSheetId="1">財報紅綠燈!#REF!</definedName>
    <definedName name="外部資料_8183" localSheetId="1">財報紅綠燈!#REF!</definedName>
    <definedName name="外部資料_8185" localSheetId="1">財報紅綠燈!#REF!</definedName>
    <definedName name="外部資料_8186" localSheetId="1">財報紅綠燈!#REF!</definedName>
    <definedName name="外部資料_8187" localSheetId="1">財報紅綠燈!#REF!</definedName>
    <definedName name="外部資料_819" localSheetId="1">財報紅綠燈!#REF!</definedName>
    <definedName name="外部資料_82" localSheetId="8">PKA!#REF!</definedName>
    <definedName name="外部資料_82" localSheetId="9">PKB!#REF!</definedName>
    <definedName name="外部資料_82" localSheetId="10">PKC!#REF!</definedName>
    <definedName name="外部資料_82" localSheetId="1">財報紅綠燈!#REF!</definedName>
    <definedName name="外部資料_820" localSheetId="1">財報紅綠燈!#REF!</definedName>
    <definedName name="外部資料_822" localSheetId="1">財報紅綠燈!#REF!</definedName>
    <definedName name="外部資料_823" localSheetId="1">財報紅綠燈!#REF!</definedName>
    <definedName name="外部資料_824" localSheetId="1">財報紅綠燈!#REF!</definedName>
    <definedName name="外部資料_826" localSheetId="1">財報紅綠燈!#REF!</definedName>
    <definedName name="外部資料_827" localSheetId="1">財報紅綠燈!#REF!</definedName>
    <definedName name="外部資料_828" localSheetId="1">財報紅綠燈!#REF!</definedName>
    <definedName name="外部資料_83" localSheetId="8">PKA!#REF!</definedName>
    <definedName name="外部資料_83" localSheetId="9">PKB!#REF!</definedName>
    <definedName name="外部資料_83" localSheetId="10">PKC!#REF!</definedName>
    <definedName name="外部資料_83" localSheetId="3">篩股系統!$D$2:$L$5</definedName>
    <definedName name="外部資料_830" localSheetId="1">財報紅綠燈!#REF!</definedName>
    <definedName name="外部資料_831" localSheetId="1">財報紅綠燈!#REF!</definedName>
    <definedName name="外部資料_832" localSheetId="1">財報紅綠燈!#REF!</definedName>
    <definedName name="外部資料_834" localSheetId="1">財報紅綠燈!#REF!</definedName>
    <definedName name="外部資料_835" localSheetId="1">財報紅綠燈!#REF!</definedName>
    <definedName name="外部資料_836" localSheetId="1">財報紅綠燈!#REF!</definedName>
    <definedName name="外部資料_838" localSheetId="1">財報紅綠燈!#REF!</definedName>
    <definedName name="外部資料_839" localSheetId="1">財報紅綠燈!#REF!</definedName>
    <definedName name="外部資料_84" localSheetId="8">PKA!#REF!</definedName>
    <definedName name="外部資料_84" localSheetId="9">PKB!#REF!</definedName>
    <definedName name="外部資料_84" localSheetId="10">PKC!#REF!</definedName>
    <definedName name="外部資料_84" localSheetId="1">財報紅綠燈!#REF!</definedName>
    <definedName name="外部資料_84" localSheetId="3">篩股系統!$D$2:$L$5</definedName>
    <definedName name="外部資料_840" localSheetId="1">財報紅綠燈!#REF!</definedName>
    <definedName name="外部資料_842" localSheetId="1">財報紅綠燈!#REF!</definedName>
    <definedName name="外部資料_843" localSheetId="1">財報紅綠燈!#REF!</definedName>
    <definedName name="外部資料_844" localSheetId="1">財報紅綠燈!#REF!</definedName>
    <definedName name="外部資料_846" localSheetId="1">財報紅綠燈!#REF!</definedName>
    <definedName name="外部資料_847" localSheetId="1">財報紅綠燈!#REF!</definedName>
    <definedName name="外部資料_848" localSheetId="1">財報紅綠燈!#REF!</definedName>
    <definedName name="外部資料_85" localSheetId="8">PKA!#REF!</definedName>
    <definedName name="外部資料_85" localSheetId="9">PKB!#REF!</definedName>
    <definedName name="外部資料_85" localSheetId="10">PKC!#REF!</definedName>
    <definedName name="外部資料_85" localSheetId="1">財報紅綠燈!#REF!</definedName>
    <definedName name="外部資料_85" localSheetId="3">篩股系統!$D$2:$L$5</definedName>
    <definedName name="外部資料_850" localSheetId="1">財報紅綠燈!#REF!</definedName>
    <definedName name="外部資料_851" localSheetId="1">財報紅綠燈!#REF!</definedName>
    <definedName name="外部資料_852" localSheetId="1">財報紅綠燈!#REF!</definedName>
    <definedName name="外部資料_854" localSheetId="1">財報紅綠燈!#REF!</definedName>
    <definedName name="外部資料_855" localSheetId="1">財報紅綠燈!#REF!</definedName>
    <definedName name="外部資料_856" localSheetId="1">財報紅綠燈!#REF!</definedName>
    <definedName name="外部資料_858" localSheetId="1">財報紅綠燈!#REF!</definedName>
    <definedName name="外部資料_859" localSheetId="1">財報紅綠燈!#REF!</definedName>
    <definedName name="外部資料_86" localSheetId="8">PKA!#REF!</definedName>
    <definedName name="外部資料_86" localSheetId="9">PKB!#REF!</definedName>
    <definedName name="外部資料_86" localSheetId="10">PKC!#REF!</definedName>
    <definedName name="外部資料_86" localSheetId="1">財報紅綠燈!#REF!</definedName>
    <definedName name="外部資料_86" localSheetId="3">篩股系統!$D$2:$L$5</definedName>
    <definedName name="外部資料_860" localSheetId="1">財報紅綠燈!#REF!</definedName>
    <definedName name="外部資料_862" localSheetId="1">財報紅綠燈!#REF!</definedName>
    <definedName name="外部資料_863" localSheetId="1">財報紅綠燈!#REF!</definedName>
    <definedName name="外部資料_864" localSheetId="1">財報紅綠燈!#REF!</definedName>
    <definedName name="外部資料_866" localSheetId="1">財報紅綠燈!#REF!</definedName>
    <definedName name="外部資料_867" localSheetId="1">財報紅綠燈!#REF!</definedName>
    <definedName name="外部資料_868" localSheetId="1">財報紅綠燈!#REF!</definedName>
    <definedName name="外部資料_87" localSheetId="8">PKA!#REF!</definedName>
    <definedName name="外部資料_87" localSheetId="9">PKB!#REF!</definedName>
    <definedName name="外部資料_87" localSheetId="10">PKC!#REF!</definedName>
    <definedName name="外部資料_87" localSheetId="3">篩股系統!$D$2:$L$5</definedName>
    <definedName name="外部資料_870" localSheetId="1">財報紅綠燈!#REF!</definedName>
    <definedName name="外部資料_871" localSheetId="1">財報紅綠燈!#REF!</definedName>
    <definedName name="外部資料_872" localSheetId="1">財報紅綠燈!#REF!</definedName>
    <definedName name="外部資料_874" localSheetId="1">財報紅綠燈!#REF!</definedName>
    <definedName name="外部資料_875" localSheetId="1">財報紅綠燈!#REF!</definedName>
    <definedName name="外部資料_876" localSheetId="1">財報紅綠燈!#REF!</definedName>
    <definedName name="外部資料_878" localSheetId="1">財報紅綠燈!#REF!</definedName>
    <definedName name="外部資料_879" localSheetId="1">財報紅綠燈!#REF!</definedName>
    <definedName name="外部資料_88" localSheetId="8">PKA!#REF!</definedName>
    <definedName name="外部資料_88" localSheetId="9">PKB!#REF!</definedName>
    <definedName name="外部資料_88" localSheetId="10">PKC!#REF!</definedName>
    <definedName name="外部資料_88" localSheetId="1">財報紅綠燈!#REF!</definedName>
    <definedName name="外部資料_88" localSheetId="3">篩股系統!$D$2:$L$5</definedName>
    <definedName name="外部資料_880" localSheetId="1">財報紅綠燈!#REF!</definedName>
    <definedName name="外部資料_882" localSheetId="1">財報紅綠燈!#REF!</definedName>
    <definedName name="外部資料_883" localSheetId="1">財報紅綠燈!#REF!</definedName>
    <definedName name="外部資料_884" localSheetId="1">財報紅綠燈!#REF!</definedName>
    <definedName name="外部資料_886" localSheetId="1">財報紅綠燈!#REF!</definedName>
    <definedName name="外部資料_887" localSheetId="1">財報紅綠燈!#REF!</definedName>
    <definedName name="外部資料_888" localSheetId="1">財報紅綠燈!#REF!</definedName>
    <definedName name="外部資料_89" localSheetId="8">PKA!#REF!</definedName>
    <definedName name="外部資料_89" localSheetId="9">PKB!#REF!</definedName>
    <definedName name="外部資料_89" localSheetId="10">PKC!#REF!</definedName>
    <definedName name="外部資料_89" localSheetId="1">財報紅綠燈!#REF!</definedName>
    <definedName name="外部資料_89" localSheetId="3">篩股系統!$D$2:$L$5</definedName>
    <definedName name="外部資料_890" localSheetId="1">財報紅綠燈!#REF!</definedName>
    <definedName name="外部資料_891" localSheetId="1">財報紅綠燈!#REF!</definedName>
    <definedName name="外部資料_892" localSheetId="1">財報紅綠燈!#REF!</definedName>
    <definedName name="外部資料_894" localSheetId="1">財報紅綠燈!#REF!</definedName>
    <definedName name="外部資料_895" localSheetId="1">財報紅綠燈!#REF!</definedName>
    <definedName name="外部資料_897" localSheetId="1">財報紅綠燈!#REF!</definedName>
    <definedName name="外部資料_898" localSheetId="1">財報紅綠燈!#REF!</definedName>
    <definedName name="外部資料_899" localSheetId="1">財報紅綠燈!#REF!</definedName>
    <definedName name="外部資料_9" localSheetId="8">PKA!#REF!</definedName>
    <definedName name="外部資料_9" localSheetId="9">PKB!#REF!</definedName>
    <definedName name="外部資料_9" localSheetId="10">PKC!#REF!</definedName>
    <definedName name="外部資料_9" localSheetId="1">財報紅綠燈!#REF!</definedName>
    <definedName name="外部資料_9" localSheetId="5">評比系統!#REF!</definedName>
    <definedName name="外部資料_9" localSheetId="3">篩股系統!#REF!</definedName>
    <definedName name="外部資料_90" localSheetId="8">PKA!#REF!</definedName>
    <definedName name="外部資料_90" localSheetId="9">PKB!#REF!</definedName>
    <definedName name="外部資料_90" localSheetId="10">PKC!#REF!</definedName>
    <definedName name="外部資料_90" localSheetId="1">財報紅綠燈!#REF!</definedName>
    <definedName name="外部資料_90" localSheetId="3">篩股系統!$D$2:$L$5</definedName>
    <definedName name="外部資料_901" localSheetId="1">財報紅綠燈!#REF!</definedName>
    <definedName name="外部資料_902" localSheetId="1">財報紅綠燈!#REF!</definedName>
    <definedName name="外部資料_903" localSheetId="1">財報紅綠燈!#REF!</definedName>
    <definedName name="外部資料_905" localSheetId="1">財報紅綠燈!#REF!</definedName>
    <definedName name="外部資料_906" localSheetId="1">財報紅綠燈!#REF!</definedName>
    <definedName name="外部資料_907" localSheetId="1">財報紅綠燈!#REF!</definedName>
    <definedName name="外部資料_909" localSheetId="1">財報紅綠燈!#REF!</definedName>
    <definedName name="外部資料_91" localSheetId="8">PKA!#REF!</definedName>
    <definedName name="外部資料_91" localSheetId="9">PKB!#REF!</definedName>
    <definedName name="外部資料_91" localSheetId="10">PKC!#REF!</definedName>
    <definedName name="外部資料_91" localSheetId="3">篩股系統!$D$2:$L$5</definedName>
    <definedName name="外部資料_910" localSheetId="1">財報紅綠燈!#REF!</definedName>
    <definedName name="外部資料_911" localSheetId="1">財報紅綠燈!#REF!</definedName>
    <definedName name="外部資料_913" localSheetId="1">財報紅綠燈!#REF!</definedName>
    <definedName name="外部資料_914" localSheetId="1">財報紅綠燈!#REF!</definedName>
    <definedName name="外部資料_915" localSheetId="1">財報紅綠燈!#REF!</definedName>
    <definedName name="外部資料_917" localSheetId="1">財報紅綠燈!#REF!</definedName>
    <definedName name="外部資料_918" localSheetId="1">財報紅綠燈!#REF!</definedName>
    <definedName name="外部資料_919" localSheetId="1">財報紅綠燈!#REF!</definedName>
    <definedName name="外部資料_92" localSheetId="8">PKA!#REF!</definedName>
    <definedName name="外部資料_92" localSheetId="9">PKB!#REF!</definedName>
    <definedName name="外部資料_92" localSheetId="10">PKC!#REF!</definedName>
    <definedName name="外部資料_92" localSheetId="1">財報紅綠燈!#REF!</definedName>
    <definedName name="外部資料_92" localSheetId="3">篩股系統!$D$2:$L$5</definedName>
    <definedName name="外部資料_921" localSheetId="1">財報紅綠燈!#REF!</definedName>
    <definedName name="外部資料_922" localSheetId="1">財報紅綠燈!#REF!</definedName>
    <definedName name="外部資料_923" localSheetId="1">財報紅綠燈!#REF!</definedName>
    <definedName name="外部資料_925" localSheetId="1">財報紅綠燈!#REF!</definedName>
    <definedName name="外部資料_926" localSheetId="1">財報紅綠燈!#REF!</definedName>
    <definedName name="外部資料_927" localSheetId="1">財報紅綠燈!#REF!</definedName>
    <definedName name="外部資料_929" localSheetId="1">財報紅綠燈!#REF!</definedName>
    <definedName name="外部資料_93" localSheetId="8">PKA!#REF!</definedName>
    <definedName name="外部資料_93" localSheetId="9">PKB!#REF!</definedName>
    <definedName name="外部資料_93" localSheetId="10">PKC!#REF!</definedName>
    <definedName name="外部資料_93" localSheetId="1">財報紅綠燈!#REF!</definedName>
    <definedName name="外部資料_93" localSheetId="3">篩股系統!$D$2:$L$5</definedName>
    <definedName name="外部資料_930" localSheetId="1">財報紅綠燈!#REF!</definedName>
    <definedName name="外部資料_931" localSheetId="1">財報紅綠燈!#REF!</definedName>
    <definedName name="外部資料_933" localSheetId="1">財報紅綠燈!#REF!</definedName>
    <definedName name="外部資料_934" localSheetId="1">財報紅綠燈!#REF!</definedName>
    <definedName name="外部資料_935" localSheetId="1">財報紅綠燈!#REF!</definedName>
    <definedName name="外部資料_937" localSheetId="1">財報紅綠燈!#REF!</definedName>
    <definedName name="外部資料_938" localSheetId="1">財報紅綠燈!#REF!</definedName>
    <definedName name="外部資料_94" localSheetId="8">PKA!#REF!</definedName>
    <definedName name="外部資料_94" localSheetId="9">PKB!#REF!</definedName>
    <definedName name="外部資料_94" localSheetId="10">PKC!#REF!</definedName>
    <definedName name="外部資料_94" localSheetId="1">財報紅綠燈!#REF!</definedName>
    <definedName name="外部資料_94" localSheetId="3">篩股系統!$D$2:$L$5</definedName>
    <definedName name="外部資料_940" localSheetId="1">財報紅綠燈!#REF!</definedName>
    <definedName name="外部資料_941" localSheetId="1">財報紅綠燈!#REF!</definedName>
    <definedName name="外部資料_942" localSheetId="1">財報紅綠燈!#REF!</definedName>
    <definedName name="外部資料_944" localSheetId="1">財報紅綠燈!#REF!</definedName>
    <definedName name="外部資料_945" localSheetId="1">財報紅綠燈!#REF!</definedName>
    <definedName name="外部資料_946" localSheetId="1">財報紅綠燈!#REF!</definedName>
    <definedName name="外部資料_948" localSheetId="1">財報紅綠燈!#REF!</definedName>
    <definedName name="外部資料_949" localSheetId="1">財報紅綠燈!#REF!</definedName>
    <definedName name="外部資料_95" localSheetId="8">PKA!#REF!</definedName>
    <definedName name="外部資料_95" localSheetId="9">PKB!#REF!</definedName>
    <definedName name="外部資料_95" localSheetId="10">PKC!#REF!</definedName>
    <definedName name="外部資料_95" localSheetId="3">篩股系統!$D$2:$L$5</definedName>
    <definedName name="外部資料_951" localSheetId="1">財報紅綠燈!#REF!</definedName>
    <definedName name="外部資料_952" localSheetId="1">財報紅綠燈!#REF!</definedName>
    <definedName name="外部資料_953" localSheetId="1">財報紅綠燈!#REF!</definedName>
    <definedName name="外部資料_955" localSheetId="1">財報紅綠燈!#REF!</definedName>
    <definedName name="外部資料_956" localSheetId="1">財報紅綠燈!#REF!</definedName>
    <definedName name="外部資料_957" localSheetId="1">財報紅綠燈!#REF!</definedName>
    <definedName name="外部資料_959" localSheetId="1">財報紅綠燈!#REF!</definedName>
    <definedName name="外部資料_96" localSheetId="8">PKA!#REF!</definedName>
    <definedName name="外部資料_96" localSheetId="9">PKB!#REF!</definedName>
    <definedName name="外部資料_96" localSheetId="10">PKC!#REF!</definedName>
    <definedName name="外部資料_96" localSheetId="1">財報紅綠燈!#REF!</definedName>
    <definedName name="外部資料_96" localSheetId="3">篩股系統!$D$2:$L$5</definedName>
    <definedName name="外部資料_960" localSheetId="1">財報紅綠燈!#REF!</definedName>
    <definedName name="外部資料_961" localSheetId="1">財報紅綠燈!#REF!</definedName>
    <definedName name="外部資料_963" localSheetId="1">財報紅綠燈!#REF!</definedName>
    <definedName name="外部資料_964" localSheetId="1">財報紅綠燈!#REF!</definedName>
    <definedName name="外部資料_965" localSheetId="1">財報紅綠燈!#REF!</definedName>
    <definedName name="外部資料_967" localSheetId="1">財報紅綠燈!#REF!</definedName>
    <definedName name="外部資料_968" localSheetId="1">財報紅綠燈!#REF!</definedName>
    <definedName name="外部資料_969" localSheetId="1">財報紅綠燈!#REF!</definedName>
    <definedName name="外部資料_97" localSheetId="8">PKA!#REF!</definedName>
    <definedName name="外部資料_97" localSheetId="9">PKB!#REF!</definedName>
    <definedName name="外部資料_97" localSheetId="10">PKC!#REF!</definedName>
    <definedName name="外部資料_97" localSheetId="1">財報紅綠燈!#REF!</definedName>
    <definedName name="外部資料_97" localSheetId="3">篩股系統!$D$2:$L$5</definedName>
    <definedName name="外部資料_971" localSheetId="1">財報紅綠燈!#REF!</definedName>
    <definedName name="外部資料_972" localSheetId="1">財報紅綠燈!#REF!</definedName>
    <definedName name="外部資料_973" localSheetId="1">財報紅綠燈!#REF!</definedName>
    <definedName name="外部資料_975" localSheetId="1">財報紅綠燈!#REF!</definedName>
    <definedName name="外部資料_976" localSheetId="1">財報紅綠燈!#REF!</definedName>
    <definedName name="外部資料_977" localSheetId="1">財報紅綠燈!#REF!</definedName>
    <definedName name="外部資料_979" localSheetId="1">財報紅綠燈!#REF!</definedName>
    <definedName name="外部資料_98" localSheetId="8">PKA!#REF!</definedName>
    <definedName name="外部資料_98" localSheetId="9">PKB!#REF!</definedName>
    <definedName name="外部資料_98" localSheetId="10">PKC!#REF!</definedName>
    <definedName name="外部資料_98" localSheetId="1">財報紅綠燈!#REF!</definedName>
    <definedName name="外部資料_98" localSheetId="3">篩股系統!$D$2:$L$5</definedName>
    <definedName name="外部資料_980" localSheetId="1">財報紅綠燈!#REF!</definedName>
    <definedName name="外部資料_981" localSheetId="1">財報紅綠燈!#REF!</definedName>
    <definedName name="外部資料_983" localSheetId="1">財報紅綠燈!#REF!</definedName>
    <definedName name="外部資料_984" localSheetId="1">財報紅綠燈!#REF!</definedName>
    <definedName name="外部資料_985" localSheetId="1">財報紅綠燈!#REF!</definedName>
    <definedName name="外部資料_987" localSheetId="1">財報紅綠燈!#REF!</definedName>
    <definedName name="外部資料_988" localSheetId="1">財報紅綠燈!#REF!</definedName>
    <definedName name="外部資料_989" localSheetId="1">財報紅綠燈!#REF!</definedName>
    <definedName name="外部資料_99" localSheetId="8">PKA!#REF!</definedName>
    <definedName name="外部資料_99" localSheetId="9">PKB!#REF!</definedName>
    <definedName name="外部資料_99" localSheetId="10">PKC!#REF!</definedName>
    <definedName name="外部資料_99" localSheetId="3">篩股系統!$D$2:$L$5</definedName>
    <definedName name="外部資料_991" localSheetId="1">財報紅綠燈!#REF!</definedName>
    <definedName name="外部資料_992" localSheetId="1">財報紅綠燈!#REF!</definedName>
    <definedName name="外部資料_993" localSheetId="1">財報紅綠燈!#REF!</definedName>
    <definedName name="外部資料_995" localSheetId="1">財報紅綠燈!#REF!</definedName>
    <definedName name="外部資料_996" localSheetId="1">財報紅綠燈!#REF!</definedName>
    <definedName name="外部資料_997" localSheetId="1">財報紅綠燈!#REF!</definedName>
    <definedName name="外部資料_999" localSheetId="1">財報紅綠燈!#REF!</definedName>
    <definedName name="持股分佈_1" localSheetId="5">評比系統!#REF!</definedName>
    <definedName name="持股分佈_2" localSheetId="5">評比系統!#REF!</definedName>
  </definedNames>
  <calcPr calcId="152511" iterate="1"/>
</workbook>
</file>

<file path=xl/calcChain.xml><?xml version="1.0" encoding="utf-8"?>
<calcChain xmlns="http://schemas.openxmlformats.org/spreadsheetml/2006/main">
  <c r="V20" i="1" l="1"/>
  <c r="U20" i="1"/>
  <c r="T20" i="1"/>
  <c r="S20" i="1"/>
  <c r="R20" i="1"/>
  <c r="Q20" i="1"/>
  <c r="P20" i="1"/>
  <c r="O20" i="1"/>
  <c r="V19" i="1"/>
  <c r="U19" i="1"/>
  <c r="T19" i="1"/>
  <c r="S19" i="1"/>
  <c r="R19" i="1"/>
  <c r="Q19" i="1"/>
  <c r="P19" i="1"/>
  <c r="O19" i="1"/>
  <c r="V18" i="1"/>
  <c r="U18" i="1"/>
  <c r="T18" i="1"/>
  <c r="S18" i="1"/>
  <c r="R18" i="1"/>
  <c r="Q18" i="1"/>
  <c r="P18" i="1"/>
  <c r="O18" i="1"/>
  <c r="V15" i="1"/>
  <c r="U15" i="1"/>
  <c r="T15" i="1"/>
  <c r="S15" i="1"/>
  <c r="R15" i="1"/>
  <c r="Q15" i="1"/>
  <c r="P15" i="1"/>
  <c r="O15" i="1"/>
  <c r="V14" i="1"/>
  <c r="U14" i="1"/>
  <c r="T14" i="1"/>
  <c r="S14" i="1"/>
  <c r="R14" i="1"/>
  <c r="Q14" i="1"/>
  <c r="P14" i="1"/>
  <c r="O14" i="1"/>
  <c r="V13" i="1"/>
  <c r="U13" i="1"/>
  <c r="T13" i="1"/>
  <c r="S13" i="1"/>
  <c r="R13" i="1"/>
  <c r="Q13" i="1"/>
  <c r="P13" i="1"/>
  <c r="O13" i="1"/>
  <c r="V12" i="1"/>
  <c r="U12" i="1"/>
  <c r="T12" i="1"/>
  <c r="S12" i="1"/>
  <c r="R12" i="1"/>
  <c r="Q12" i="1"/>
  <c r="P12" i="1"/>
  <c r="O12" i="1"/>
  <c r="V11" i="1"/>
  <c r="U11" i="1"/>
  <c r="T11" i="1"/>
  <c r="S11" i="1"/>
  <c r="R11" i="1"/>
  <c r="Q11" i="1"/>
  <c r="P11" i="1"/>
  <c r="O11" i="1"/>
  <c r="V10" i="1"/>
  <c r="U10" i="1"/>
  <c r="T10" i="1"/>
  <c r="S10" i="1"/>
  <c r="R10" i="1"/>
  <c r="Q10" i="1"/>
  <c r="P10" i="1"/>
  <c r="O10" i="1"/>
  <c r="V9" i="1"/>
  <c r="U9" i="1"/>
  <c r="T9" i="1"/>
  <c r="S9" i="1"/>
  <c r="R9" i="1"/>
  <c r="Q9" i="1"/>
  <c r="P9" i="1"/>
  <c r="O9" i="1"/>
  <c r="V8" i="1"/>
  <c r="U8" i="1"/>
  <c r="T8" i="1"/>
  <c r="S8" i="1"/>
  <c r="R8" i="1"/>
  <c r="Q8" i="1"/>
  <c r="P8" i="1"/>
  <c r="O8" i="1"/>
  <c r="V7" i="1"/>
  <c r="U7" i="1"/>
  <c r="T7" i="1"/>
  <c r="S7" i="1"/>
  <c r="R7" i="1"/>
  <c r="Q7" i="1"/>
  <c r="P7" i="1"/>
  <c r="O7" i="1"/>
  <c r="V6" i="1"/>
  <c r="U6" i="1"/>
  <c r="T6" i="1"/>
  <c r="S6" i="1"/>
  <c r="R6" i="1"/>
  <c r="Q6" i="1"/>
  <c r="P6" i="1"/>
  <c r="O6" i="1"/>
  <c r="V5" i="1"/>
  <c r="U5" i="1"/>
  <c r="T5" i="1"/>
  <c r="S5" i="1"/>
  <c r="R5" i="1"/>
  <c r="Q5" i="1"/>
  <c r="P5" i="1"/>
  <c r="O5" i="1"/>
  <c r="V4" i="1"/>
  <c r="U4" i="1"/>
  <c r="T4" i="1"/>
  <c r="S4" i="1"/>
  <c r="R4" i="1"/>
  <c r="Q4" i="1"/>
  <c r="P4" i="1"/>
  <c r="O4" i="1"/>
  <c r="V3" i="1"/>
  <c r="U3" i="1"/>
  <c r="T3" i="1"/>
  <c r="S3" i="1"/>
  <c r="R3" i="1"/>
  <c r="Q3" i="1"/>
  <c r="P3" i="1"/>
  <c r="O3" i="1"/>
  <c r="N78" i="2" l="1"/>
  <c r="N77" i="2" l="1"/>
  <c r="N76" i="2" l="1"/>
  <c r="N75" i="2" l="1"/>
  <c r="J43" i="8" l="1"/>
  <c r="I43" i="8"/>
  <c r="H43" i="8"/>
  <c r="G43" i="8"/>
  <c r="F43" i="8"/>
  <c r="E43" i="8"/>
  <c r="D43" i="8"/>
  <c r="C43" i="8"/>
  <c r="J40" i="8"/>
  <c r="I40" i="8"/>
  <c r="H40" i="8"/>
  <c r="G40" i="8"/>
  <c r="F40" i="8"/>
  <c r="E40" i="8"/>
  <c r="D40" i="8"/>
  <c r="C40" i="8"/>
  <c r="J37" i="8"/>
  <c r="I37" i="8"/>
  <c r="H37" i="8"/>
  <c r="G37" i="8"/>
  <c r="F37" i="8"/>
  <c r="E37" i="8"/>
  <c r="D37" i="8"/>
  <c r="C37" i="8"/>
  <c r="J34" i="8"/>
  <c r="I34" i="8"/>
  <c r="H34" i="8"/>
  <c r="G34" i="8"/>
  <c r="F34" i="8"/>
  <c r="E34" i="8"/>
  <c r="D34" i="8"/>
  <c r="C34" i="8"/>
  <c r="J31" i="8"/>
  <c r="I31" i="8"/>
  <c r="H31" i="8"/>
  <c r="G31" i="8"/>
  <c r="F31" i="8"/>
  <c r="E31" i="8"/>
  <c r="D31" i="8"/>
  <c r="C31" i="8"/>
  <c r="J28" i="8"/>
  <c r="I28" i="8"/>
  <c r="H28" i="8"/>
  <c r="G28" i="8"/>
  <c r="F28" i="8"/>
  <c r="E28" i="8"/>
  <c r="D28" i="8"/>
  <c r="C28" i="8"/>
  <c r="J25" i="8"/>
  <c r="I25" i="8"/>
  <c r="H25" i="8"/>
  <c r="G25" i="8"/>
  <c r="F25" i="8"/>
  <c r="E25" i="8"/>
  <c r="D25" i="8"/>
  <c r="C25" i="8"/>
  <c r="J22" i="8"/>
  <c r="I22" i="8"/>
  <c r="H22" i="8"/>
  <c r="G22" i="8"/>
  <c r="F22" i="8"/>
  <c r="E22" i="8"/>
  <c r="D22" i="8"/>
  <c r="C22" i="8"/>
  <c r="J19" i="8"/>
  <c r="I19" i="8"/>
  <c r="H19" i="8"/>
  <c r="G19" i="8"/>
  <c r="F19" i="8"/>
  <c r="E19" i="8"/>
  <c r="D19" i="8"/>
  <c r="C19" i="8"/>
  <c r="J16" i="8"/>
  <c r="I16" i="8"/>
  <c r="H16" i="8"/>
  <c r="G16" i="8"/>
  <c r="F16" i="8"/>
  <c r="E16" i="8"/>
  <c r="D16" i="8"/>
  <c r="C16" i="8"/>
  <c r="J13" i="8"/>
  <c r="I13" i="8"/>
  <c r="H13" i="8"/>
  <c r="G13" i="8"/>
  <c r="F13" i="8"/>
  <c r="E13" i="8"/>
  <c r="D13" i="8"/>
  <c r="C13" i="8"/>
  <c r="J10" i="8"/>
  <c r="I10" i="8"/>
  <c r="H10" i="8"/>
  <c r="G10" i="8"/>
  <c r="F10" i="8"/>
  <c r="E10" i="8"/>
  <c r="D10" i="8"/>
  <c r="C10" i="8"/>
  <c r="J7" i="8"/>
  <c r="I7" i="8"/>
  <c r="H7" i="8"/>
  <c r="G7" i="8"/>
  <c r="F7" i="8"/>
  <c r="E7" i="8"/>
  <c r="D7" i="8"/>
  <c r="C7" i="8"/>
  <c r="J4" i="8"/>
  <c r="I4" i="8"/>
  <c r="H4" i="8"/>
  <c r="G4" i="8"/>
  <c r="F4" i="8"/>
  <c r="E4" i="8"/>
  <c r="D4" i="8"/>
  <c r="C4" i="8"/>
  <c r="J42" i="8"/>
  <c r="I42" i="8"/>
  <c r="H42" i="8"/>
  <c r="G42" i="8"/>
  <c r="F42" i="8"/>
  <c r="E42" i="8"/>
  <c r="D42" i="8"/>
  <c r="C42" i="8"/>
  <c r="J39" i="8"/>
  <c r="I39" i="8"/>
  <c r="H39" i="8"/>
  <c r="G39" i="8"/>
  <c r="F39" i="8"/>
  <c r="E39" i="8"/>
  <c r="D39" i="8"/>
  <c r="C39" i="8"/>
  <c r="J36" i="8"/>
  <c r="I36" i="8"/>
  <c r="H36" i="8"/>
  <c r="G36" i="8"/>
  <c r="F36" i="8"/>
  <c r="E36" i="8"/>
  <c r="D36" i="8"/>
  <c r="C36" i="8"/>
  <c r="J33" i="8"/>
  <c r="I33" i="8"/>
  <c r="H33" i="8"/>
  <c r="G33" i="8"/>
  <c r="F33" i="8"/>
  <c r="E33" i="8"/>
  <c r="D33" i="8"/>
  <c r="C33" i="8"/>
  <c r="J30" i="8"/>
  <c r="I30" i="8"/>
  <c r="H30" i="8"/>
  <c r="G30" i="8"/>
  <c r="F30" i="8"/>
  <c r="E30" i="8"/>
  <c r="D30" i="8"/>
  <c r="C30" i="8"/>
  <c r="J27" i="8"/>
  <c r="I27" i="8"/>
  <c r="H27" i="8"/>
  <c r="G27" i="8"/>
  <c r="F27" i="8"/>
  <c r="E27" i="8"/>
  <c r="D27" i="8"/>
  <c r="C27" i="8"/>
  <c r="J24" i="8"/>
  <c r="I24" i="8"/>
  <c r="H24" i="8"/>
  <c r="G24" i="8"/>
  <c r="F24" i="8"/>
  <c r="E24" i="8"/>
  <c r="D24" i="8"/>
  <c r="C24" i="8"/>
  <c r="J21" i="8"/>
  <c r="I21" i="8"/>
  <c r="H21" i="8"/>
  <c r="G21" i="8"/>
  <c r="F21" i="8"/>
  <c r="E21" i="8"/>
  <c r="D21" i="8"/>
  <c r="C21" i="8"/>
  <c r="J18" i="8"/>
  <c r="I18" i="8"/>
  <c r="H18" i="8"/>
  <c r="G18" i="8"/>
  <c r="F18" i="8"/>
  <c r="E18" i="8"/>
  <c r="D18" i="8"/>
  <c r="C18" i="8"/>
  <c r="J15" i="8"/>
  <c r="I15" i="8"/>
  <c r="H15" i="8"/>
  <c r="G15" i="8"/>
  <c r="F15" i="8"/>
  <c r="E15" i="8"/>
  <c r="D15" i="8"/>
  <c r="C15" i="8"/>
  <c r="J12" i="8"/>
  <c r="I12" i="8"/>
  <c r="H12" i="8"/>
  <c r="G12" i="8"/>
  <c r="F12" i="8"/>
  <c r="E12" i="8"/>
  <c r="D12" i="8"/>
  <c r="C12" i="8"/>
  <c r="J9" i="8"/>
  <c r="I9" i="8"/>
  <c r="H9" i="8"/>
  <c r="G9" i="8"/>
  <c r="F9" i="8"/>
  <c r="E9" i="8"/>
  <c r="D9" i="8"/>
  <c r="C9" i="8"/>
  <c r="J6" i="8"/>
  <c r="I6" i="8"/>
  <c r="H6" i="8"/>
  <c r="G6" i="8"/>
  <c r="F6" i="8"/>
  <c r="E6" i="8"/>
  <c r="D6" i="8"/>
  <c r="C6" i="8"/>
  <c r="J3" i="8"/>
  <c r="I3" i="8"/>
  <c r="H3" i="8"/>
  <c r="G3" i="8"/>
  <c r="F3" i="8"/>
  <c r="E3" i="8"/>
  <c r="D3" i="8"/>
  <c r="C3" i="8"/>
  <c r="J41" i="8"/>
  <c r="I41" i="8"/>
  <c r="H41" i="8"/>
  <c r="G41" i="8"/>
  <c r="F41" i="8"/>
  <c r="E41" i="8"/>
  <c r="D41" i="8"/>
  <c r="C41" i="8"/>
  <c r="J38" i="8"/>
  <c r="I38" i="8"/>
  <c r="H38" i="8"/>
  <c r="G38" i="8"/>
  <c r="F38" i="8"/>
  <c r="E38" i="8"/>
  <c r="D38" i="8"/>
  <c r="C38" i="8"/>
  <c r="J35" i="8"/>
  <c r="I35" i="8"/>
  <c r="H35" i="8"/>
  <c r="G35" i="8"/>
  <c r="F35" i="8"/>
  <c r="E35" i="8"/>
  <c r="D35" i="8"/>
  <c r="C35" i="8"/>
  <c r="J32" i="8"/>
  <c r="I32" i="8"/>
  <c r="H32" i="8"/>
  <c r="G32" i="8"/>
  <c r="F32" i="8"/>
  <c r="E32" i="8"/>
  <c r="D32" i="8"/>
  <c r="C32" i="8"/>
  <c r="J29" i="8"/>
  <c r="I29" i="8"/>
  <c r="H29" i="8"/>
  <c r="G29" i="8"/>
  <c r="F29" i="8"/>
  <c r="E29" i="8"/>
  <c r="D29" i="8"/>
  <c r="C29" i="8"/>
  <c r="J26" i="8"/>
  <c r="I26" i="8"/>
  <c r="H26" i="8"/>
  <c r="G26" i="8"/>
  <c r="F26" i="8"/>
  <c r="E26" i="8"/>
  <c r="D26" i="8"/>
  <c r="C26" i="8"/>
  <c r="J23" i="8"/>
  <c r="I23" i="8"/>
  <c r="H23" i="8"/>
  <c r="G23" i="8"/>
  <c r="F23" i="8"/>
  <c r="E23" i="8"/>
  <c r="D23" i="8"/>
  <c r="C23" i="8"/>
  <c r="J20" i="8"/>
  <c r="I20" i="8"/>
  <c r="H20" i="8"/>
  <c r="G20" i="8"/>
  <c r="F20" i="8"/>
  <c r="E20" i="8"/>
  <c r="D20" i="8"/>
  <c r="C20" i="8"/>
  <c r="J17" i="8"/>
  <c r="I17" i="8"/>
  <c r="H17" i="8"/>
  <c r="G17" i="8"/>
  <c r="F17" i="8"/>
  <c r="E17" i="8"/>
  <c r="D17" i="8"/>
  <c r="C17" i="8"/>
  <c r="J14" i="8"/>
  <c r="I14" i="8"/>
  <c r="H14" i="8"/>
  <c r="G14" i="8"/>
  <c r="F14" i="8"/>
  <c r="E14" i="8"/>
  <c r="D14" i="8"/>
  <c r="C14" i="8"/>
  <c r="J11" i="8"/>
  <c r="I11" i="8"/>
  <c r="H11" i="8"/>
  <c r="G11" i="8"/>
  <c r="F11" i="8"/>
  <c r="E11" i="8"/>
  <c r="D11" i="8"/>
  <c r="C11" i="8"/>
  <c r="J8" i="8"/>
  <c r="I8" i="8"/>
  <c r="H8" i="8"/>
  <c r="G8" i="8"/>
  <c r="F8" i="8"/>
  <c r="E8" i="8"/>
  <c r="D8" i="8"/>
  <c r="C8" i="8"/>
  <c r="J5" i="8"/>
  <c r="I5" i="8"/>
  <c r="H5" i="8"/>
  <c r="G5" i="8"/>
  <c r="F5" i="8"/>
  <c r="E5" i="8"/>
  <c r="D5" i="8"/>
  <c r="C5" i="8"/>
  <c r="J2" i="8"/>
  <c r="I2" i="8"/>
  <c r="H2" i="8"/>
  <c r="G2" i="8"/>
  <c r="F2" i="8"/>
  <c r="E2" i="8"/>
  <c r="D2" i="8"/>
  <c r="C2" i="8"/>
  <c r="K2" i="8"/>
  <c r="L2" i="8" l="1"/>
  <c r="P36" i="1" l="1"/>
  <c r="O36" i="1"/>
  <c r="N73" i="2"/>
  <c r="D63" i="8" l="1"/>
  <c r="I57" i="8"/>
  <c r="J45" i="8"/>
  <c r="F44" i="8"/>
  <c r="P1" i="12"/>
  <c r="O1" i="12"/>
  <c r="N1" i="12"/>
  <c r="R5" i="7"/>
  <c r="R4" i="7"/>
  <c r="R3" i="7"/>
  <c r="H47" i="8" l="1"/>
  <c r="D56" i="8"/>
  <c r="H44" i="8"/>
  <c r="C44" i="8"/>
  <c r="G44" i="8"/>
  <c r="I45" i="8"/>
  <c r="E56" i="8"/>
  <c r="G45" i="8"/>
  <c r="F56" i="8"/>
  <c r="G56" i="8"/>
  <c r="H56" i="8"/>
  <c r="I56" i="8"/>
  <c r="F62" i="8"/>
  <c r="H45" i="8"/>
  <c r="F59" i="8"/>
  <c r="H57" i="8"/>
  <c r="E54" i="8"/>
  <c r="G55" i="8"/>
  <c r="E58" i="8"/>
  <c r="F54" i="8"/>
  <c r="J57" i="8"/>
  <c r="H55" i="8"/>
  <c r="F58" i="8"/>
  <c r="C56" i="8"/>
  <c r="J56" i="8"/>
  <c r="J60" i="8"/>
  <c r="J55" i="8"/>
  <c r="I55" i="8"/>
  <c r="D55" i="8"/>
  <c r="C55" i="8"/>
  <c r="J54" i="8"/>
  <c r="G54" i="8"/>
  <c r="D51" i="8"/>
  <c r="C51" i="8" s="1"/>
  <c r="E47" i="8"/>
  <c r="C45" i="8"/>
  <c r="E44" i="8"/>
  <c r="D57" i="8"/>
  <c r="G58" i="8"/>
  <c r="C57" i="8"/>
  <c r="H58" i="8"/>
  <c r="G57" i="8"/>
  <c r="E46" i="8"/>
  <c r="E55" i="8"/>
  <c r="D54" i="8"/>
  <c r="J63" i="8"/>
  <c r="F55" i="8"/>
  <c r="G52" i="8"/>
  <c r="G46" i="8"/>
  <c r="C46" i="8"/>
  <c r="I54" i="8"/>
  <c r="C54" i="8"/>
  <c r="I51" i="8"/>
  <c r="J53" i="8"/>
  <c r="I53" i="8"/>
  <c r="H53" i="8"/>
  <c r="G53" i="8"/>
  <c r="F53" i="8"/>
  <c r="E53" i="8"/>
  <c r="D53" i="8"/>
  <c r="C53" i="8"/>
  <c r="F52" i="8"/>
  <c r="J51" i="8"/>
  <c r="F47" i="8"/>
  <c r="E48" i="8"/>
  <c r="I49" i="8"/>
  <c r="G50" i="8"/>
  <c r="H50" i="8"/>
  <c r="E51" i="8"/>
  <c r="J49" i="8"/>
  <c r="F51" i="8"/>
  <c r="P2" i="12"/>
  <c r="P3" i="12" s="1"/>
  <c r="H52" i="8"/>
  <c r="J46" i="8"/>
  <c r="I58" i="8"/>
  <c r="D49" i="8"/>
  <c r="C49" i="8" s="1"/>
  <c r="D60" i="8"/>
  <c r="H61" i="8"/>
  <c r="E59" i="8"/>
  <c r="C60" i="8"/>
  <c r="I60" i="8"/>
  <c r="G61" i="8"/>
  <c r="E62" i="8"/>
  <c r="C63" i="8"/>
  <c r="I63" i="8"/>
  <c r="G64" i="8"/>
  <c r="D48" i="8"/>
  <c r="C48" i="8" s="1"/>
  <c r="J48" i="8"/>
  <c r="H49" i="8"/>
  <c r="F50" i="8"/>
  <c r="I52" i="8"/>
  <c r="D45" i="8"/>
  <c r="D46" i="8"/>
  <c r="G47" i="8"/>
  <c r="H64" i="8"/>
  <c r="E57" i="8"/>
  <c r="C58" i="8"/>
  <c r="G59" i="8"/>
  <c r="C61" i="8"/>
  <c r="G62" i="8"/>
  <c r="C64" i="8"/>
  <c r="F48" i="8"/>
  <c r="D52" i="8"/>
  <c r="C52" i="8" s="1"/>
  <c r="J52" i="8"/>
  <c r="F57" i="8"/>
  <c r="D58" i="8"/>
  <c r="J58" i="8"/>
  <c r="H59" i="8"/>
  <c r="F60" i="8"/>
  <c r="D61" i="8"/>
  <c r="J61" i="8"/>
  <c r="H62" i="8"/>
  <c r="F63" i="8"/>
  <c r="D64" i="8"/>
  <c r="J64" i="8"/>
  <c r="F45" i="8"/>
  <c r="H46" i="8"/>
  <c r="E60" i="8"/>
  <c r="I61" i="8"/>
  <c r="E63" i="8"/>
  <c r="I64" i="8"/>
  <c r="E45" i="8"/>
  <c r="I50" i="8"/>
  <c r="G51" i="8"/>
  <c r="E52" i="8"/>
  <c r="N2" i="12"/>
  <c r="N3" i="12" s="1"/>
  <c r="O2" i="12"/>
  <c r="O3" i="12" s="1"/>
  <c r="H48" i="8"/>
  <c r="I46" i="8"/>
  <c r="I44" i="8"/>
  <c r="I47" i="8"/>
  <c r="L26" i="8"/>
  <c r="K26" i="8"/>
  <c r="E49" i="8"/>
  <c r="D59" i="8"/>
  <c r="J59" i="8"/>
  <c r="H60" i="8"/>
  <c r="F61" i="8"/>
  <c r="D62" i="8"/>
  <c r="J62" i="8"/>
  <c r="H63" i="8"/>
  <c r="F64" i="8"/>
  <c r="C59" i="8"/>
  <c r="I59" i="8"/>
  <c r="G60" i="8"/>
  <c r="E61" i="8"/>
  <c r="C62" i="8"/>
  <c r="I62" i="8"/>
  <c r="G63" i="8"/>
  <c r="E64" i="8"/>
  <c r="D47" i="8"/>
  <c r="C47" i="8" s="1"/>
  <c r="D44" i="8"/>
  <c r="J47" i="8"/>
  <c r="J44" i="8"/>
  <c r="F46" i="8"/>
  <c r="F49" i="8"/>
  <c r="D50" i="8"/>
  <c r="C50" i="8" s="1"/>
  <c r="J50" i="8"/>
  <c r="H51" i="8"/>
  <c r="H54" i="8"/>
  <c r="I48" i="8"/>
  <c r="G49" i="8"/>
  <c r="E50" i="8"/>
  <c r="G48" i="8"/>
  <c r="L56" i="8" l="1"/>
  <c r="K53" i="8"/>
  <c r="L53" i="8"/>
  <c r="L52" i="8"/>
  <c r="L48" i="8"/>
  <c r="K44" i="8"/>
  <c r="L44" i="8"/>
  <c r="L51" i="8"/>
  <c r="L50" i="8"/>
  <c r="K50" i="8"/>
  <c r="K47" i="8"/>
  <c r="L47" i="8"/>
  <c r="L49" i="8"/>
  <c r="N39" i="2" l="1"/>
  <c r="N37" i="2" l="1"/>
  <c r="N23" i="2" l="1"/>
  <c r="N50" i="2" l="1"/>
  <c r="N22" i="2" l="1"/>
  <c r="N36" i="2" l="1"/>
  <c r="N59" i="2" l="1"/>
  <c r="N74" i="2"/>
  <c r="N10" i="2"/>
  <c r="N44" i="2"/>
  <c r="N15" i="2"/>
  <c r="N70" i="2"/>
  <c r="N47" i="2"/>
  <c r="N16" i="2"/>
  <c r="N55" i="2"/>
  <c r="N5" i="2"/>
  <c r="N14" i="2"/>
  <c r="N40" i="2"/>
  <c r="N51" i="2"/>
  <c r="N46" i="2"/>
  <c r="N43" i="2"/>
  <c r="N42" i="2"/>
  <c r="N41" i="2"/>
  <c r="N48" i="2"/>
  <c r="N8" i="2"/>
  <c r="N45" i="2"/>
  <c r="N4" i="2"/>
  <c r="N7" i="2"/>
  <c r="N13" i="2"/>
  <c r="N12" i="2"/>
  <c r="N6" i="2"/>
  <c r="N38" i="2"/>
  <c r="N11" i="2"/>
  <c r="N9" i="2"/>
  <c r="N54" i="2"/>
  <c r="N57" i="2"/>
  <c r="N63" i="2"/>
  <c r="N17" i="2"/>
  <c r="N18" i="2"/>
  <c r="N19" i="2"/>
  <c r="N20" i="2"/>
  <c r="N49" i="2"/>
  <c r="N21" i="2"/>
  <c r="N52" i="2"/>
  <c r="N53" i="2"/>
  <c r="N56" i="2"/>
  <c r="N58" i="2"/>
  <c r="N24" i="2"/>
  <c r="N60" i="2"/>
  <c r="N61" i="2"/>
  <c r="N62" i="2"/>
  <c r="B74" i="2"/>
  <c r="B72" i="2"/>
  <c r="B71" i="2"/>
  <c r="B35" i="2"/>
  <c r="B34" i="2"/>
  <c r="B70" i="2"/>
  <c r="B33" i="2"/>
  <c r="B69" i="2"/>
  <c r="B68" i="2"/>
  <c r="B32" i="2"/>
  <c r="B67" i="2"/>
  <c r="B31" i="2"/>
  <c r="B66" i="2"/>
  <c r="B30" i="2"/>
  <c r="B29" i="2"/>
  <c r="B28" i="2"/>
  <c r="B27" i="2"/>
  <c r="B65" i="2"/>
  <c r="B64" i="2"/>
  <c r="B26" i="2"/>
  <c r="B25" i="2"/>
  <c r="B62" i="2"/>
  <c r="B61" i="2"/>
  <c r="B60" i="2"/>
  <c r="B24" i="2"/>
  <c r="B59" i="2"/>
  <c r="B22" i="2"/>
  <c r="B58" i="2"/>
  <c r="B56" i="2"/>
  <c r="B55" i="2"/>
  <c r="B53" i="2"/>
  <c r="B52" i="2"/>
  <c r="B51" i="2"/>
  <c r="B21" i="2"/>
  <c r="B49" i="2"/>
  <c r="B20" i="2"/>
  <c r="B19" i="2"/>
  <c r="B18" i="2"/>
  <c r="B17" i="2"/>
  <c r="B47" i="2"/>
  <c r="B46" i="2"/>
  <c r="B45" i="2"/>
  <c r="B48" i="2"/>
  <c r="B63" i="2"/>
  <c r="B23" i="2"/>
  <c r="B57" i="2"/>
  <c r="B54" i="2"/>
  <c r="B16" i="2"/>
  <c r="B44" i="2"/>
  <c r="B15" i="2"/>
  <c r="B43" i="2"/>
  <c r="B42" i="2"/>
  <c r="B41" i="2"/>
  <c r="B14" i="2"/>
  <c r="B40" i="2"/>
  <c r="B13" i="2"/>
  <c r="B12" i="2"/>
  <c r="B11" i="2"/>
  <c r="B39" i="2"/>
  <c r="B10" i="2"/>
  <c r="B9" i="2"/>
  <c r="B8" i="2"/>
  <c r="B38" i="2"/>
  <c r="B7" i="2"/>
  <c r="B6" i="2"/>
  <c r="B5" i="2"/>
  <c r="B4" i="2"/>
  <c r="N25" i="2" l="1"/>
  <c r="N64" i="2" l="1"/>
  <c r="N68" i="2"/>
  <c r="N31" i="2"/>
  <c r="N35" i="2"/>
  <c r="N28" i="2"/>
  <c r="N66" i="2"/>
  <c r="N67" i="2"/>
  <c r="N71" i="2"/>
  <c r="N34" i="2"/>
  <c r="N33" i="2"/>
  <c r="N30" i="2"/>
  <c r="N69" i="2"/>
  <c r="N26" i="2"/>
  <c r="N29" i="2"/>
  <c r="N72" i="2"/>
  <c r="N27" i="2"/>
  <c r="N65" i="2"/>
  <c r="N32" i="2"/>
  <c r="V36" i="1" l="1"/>
  <c r="U36" i="1"/>
  <c r="T36" i="1"/>
  <c r="S36" i="1"/>
  <c r="R36" i="1"/>
  <c r="Q36" i="1"/>
  <c r="A1" i="2" l="1"/>
  <c r="V22" i="1" l="1"/>
  <c r="V21" i="1" l="1"/>
  <c r="T1" i="1"/>
  <c r="Q21" i="1" l="1"/>
  <c r="T28" i="1"/>
  <c r="U21" i="1"/>
  <c r="R21" i="1"/>
  <c r="V28" i="1"/>
  <c r="U28" i="1"/>
  <c r="S28" i="1"/>
  <c r="R28" i="1"/>
  <c r="Q28" i="1"/>
  <c r="P28" i="1"/>
  <c r="O28" i="1"/>
  <c r="O30" i="1" s="1"/>
  <c r="X16" i="1"/>
  <c r="W16" i="1"/>
  <c r="S31" i="1"/>
  <c r="W15" i="1"/>
  <c r="P31" i="1"/>
  <c r="O31" i="1"/>
  <c r="V23" i="1"/>
  <c r="U23" i="1"/>
  <c r="T23" i="1"/>
  <c r="S23" i="1"/>
  <c r="R23" i="1"/>
  <c r="Q23" i="1"/>
  <c r="P23" i="1"/>
  <c r="O23" i="1"/>
  <c r="U24" i="1"/>
  <c r="Q24" i="1"/>
  <c r="T26" i="1"/>
  <c r="P26" i="1"/>
  <c r="O26" i="1" s="1"/>
  <c r="T25" i="1"/>
  <c r="P25" i="1"/>
  <c r="O25" i="1" s="1"/>
  <c r="X15" i="1"/>
  <c r="S25" i="1"/>
  <c r="S26" i="1"/>
  <c r="T33" i="1"/>
  <c r="T34" i="1" s="1"/>
  <c r="Q35" i="1"/>
  <c r="P35" i="1" s="1"/>
  <c r="U35" i="1"/>
  <c r="Q33" i="1"/>
  <c r="Q34" i="1" s="1"/>
  <c r="R33" i="1"/>
  <c r="R34" i="1" s="1"/>
  <c r="U33" i="1"/>
  <c r="U34" i="1" s="1"/>
  <c r="W3" i="1"/>
  <c r="O33" i="1"/>
  <c r="O34" i="1" s="1"/>
  <c r="S33" i="1"/>
  <c r="S34" i="1" s="1"/>
  <c r="P33" i="1"/>
  <c r="P34" i="1" s="1"/>
  <c r="U22" i="1"/>
  <c r="R24" i="1"/>
  <c r="V24" i="1"/>
  <c r="R22" i="1"/>
  <c r="R35" i="1"/>
  <c r="V35" i="1"/>
  <c r="O22" i="1"/>
  <c r="S22" i="1"/>
  <c r="W9" i="1"/>
  <c r="Q22" i="1"/>
  <c r="P22" i="1"/>
  <c r="T22" i="1"/>
  <c r="T35" i="1"/>
  <c r="O21" i="1"/>
  <c r="S21" i="1"/>
  <c r="S24" i="1"/>
  <c r="Q25" i="1"/>
  <c r="U25" i="1"/>
  <c r="Q26" i="1"/>
  <c r="U26" i="1"/>
  <c r="T31" i="1"/>
  <c r="S35" i="1"/>
  <c r="P21" i="1"/>
  <c r="T21" i="1"/>
  <c r="P24" i="1"/>
  <c r="O24" i="1" s="1"/>
  <c r="T24" i="1"/>
  <c r="R25" i="1"/>
  <c r="V25" i="1"/>
  <c r="R26" i="1"/>
  <c r="V26" i="1"/>
  <c r="Q31" i="1"/>
  <c r="U31" i="1"/>
  <c r="R31" i="1"/>
  <c r="V31" i="1"/>
  <c r="V33" i="1"/>
  <c r="V34" i="1" s="1"/>
  <c r="U29" i="1" l="1"/>
  <c r="U30" i="1"/>
  <c r="P29" i="1"/>
  <c r="O29" i="1" s="1"/>
  <c r="P30" i="1"/>
  <c r="Q29" i="1"/>
  <c r="Q30" i="1"/>
  <c r="V29" i="1"/>
  <c r="V30" i="1"/>
  <c r="R29" i="1"/>
  <c r="R30" i="1"/>
  <c r="T29" i="1"/>
  <c r="T30" i="1"/>
  <c r="S29" i="1"/>
  <c r="S30" i="1"/>
  <c r="T27" i="1"/>
  <c r="X23" i="1"/>
  <c r="W23" i="1"/>
  <c r="O27" i="1"/>
  <c r="P27" i="1"/>
  <c r="S27" i="1"/>
  <c r="W30" i="1"/>
  <c r="Q32" i="1" s="1"/>
  <c r="Q27" i="1"/>
  <c r="U27" i="1"/>
  <c r="X24" i="1"/>
  <c r="W24" i="1"/>
  <c r="V27" i="1"/>
  <c r="R27" i="1"/>
  <c r="X21" i="1"/>
  <c r="W21" i="1"/>
  <c r="U32" i="1" l="1"/>
  <c r="R32" i="1"/>
  <c r="S32" i="1"/>
  <c r="P32" i="1"/>
  <c r="T32" i="1"/>
  <c r="V32" i="1"/>
  <c r="O32" i="1"/>
  <c r="W27" i="1"/>
</calcChain>
</file>

<file path=xl/comments1.xml><?xml version="1.0" encoding="utf-8"?>
<comments xmlns="http://schemas.openxmlformats.org/spreadsheetml/2006/main">
  <authors>
    <author>ASUS</author>
  </authors>
  <commentList>
    <comment ref="O1" authorId="0" shapeId="0">
      <text>
        <r>
          <rPr>
            <b/>
            <sz val="12"/>
            <color indexed="81"/>
            <rFont val="細明體"/>
            <family val="3"/>
            <charset val="136"/>
          </rPr>
          <t>EPS創5季新高</t>
        </r>
      </text>
    </comment>
    <comment ref="P1" authorId="0" shapeId="0">
      <text>
        <r>
          <rPr>
            <b/>
            <sz val="12"/>
            <color indexed="81"/>
            <rFont val="細明體"/>
            <family val="3"/>
            <charset val="136"/>
          </rPr>
          <t xml:space="preserve">純益率不能衰退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1" authorId="0" shapeId="0">
      <text>
        <r>
          <rPr>
            <b/>
            <sz val="12"/>
            <color indexed="81"/>
            <rFont val="細明體"/>
            <family val="3"/>
            <charset val="136"/>
          </rPr>
          <t>營運效率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</rPr>
          <t>ASUS: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細明體"/>
            <family val="3"/>
            <charset val="136"/>
          </rPr>
          <t>現金流量</t>
        </r>
      </text>
    </comment>
    <comment ref="S1" authorId="0" shapeId="0">
      <text>
        <r>
          <rPr>
            <b/>
            <sz val="12"/>
            <color indexed="81"/>
            <rFont val="細明體"/>
            <family val="3"/>
            <charset val="136"/>
          </rPr>
          <t>未來看好度</t>
        </r>
      </text>
    </comment>
  </commentList>
</comments>
</file>

<file path=xl/comments2.xml><?xml version="1.0" encoding="utf-8"?>
<comments xmlns="http://schemas.openxmlformats.org/spreadsheetml/2006/main">
  <authors>
    <author>Windows User</author>
    <author>alice</author>
  </authors>
  <commentList>
    <comment ref="H3" authorId="0" shapeId="0">
      <text>
        <r>
          <rPr>
            <b/>
            <sz val="12"/>
            <color indexed="81"/>
            <rFont val="細明體"/>
            <family val="3"/>
            <charset val="136"/>
          </rPr>
          <t>季線向上且乖離很小加分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J3" authorId="0" shapeId="0">
      <text>
        <r>
          <rPr>
            <b/>
            <sz val="12"/>
            <color indexed="81"/>
            <rFont val="細明體"/>
            <family val="3"/>
            <charset val="136"/>
          </rPr>
          <t>大型股或8%以上適用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3" authorId="1" shapeId="0">
      <text>
        <r>
          <rPr>
            <b/>
            <sz val="12"/>
            <color indexed="81"/>
            <rFont val="Tahoma"/>
            <family val="2"/>
          </rPr>
          <t xml:space="preserve">-5%~20% </t>
        </r>
        <r>
          <rPr>
            <b/>
            <sz val="12"/>
            <color indexed="81"/>
            <rFont val="細明體"/>
            <family val="3"/>
            <charset val="136"/>
          </rPr>
          <t>當</t>
        </r>
        <r>
          <rPr>
            <b/>
            <sz val="14"/>
            <color indexed="81"/>
            <rFont val="細明體"/>
            <family val="3"/>
            <charset val="136"/>
          </rPr>
          <t xml:space="preserve"> </t>
        </r>
        <r>
          <rPr>
            <b/>
            <sz val="12"/>
            <color indexed="81"/>
            <rFont val="細明體"/>
            <family val="3"/>
            <charset val="136"/>
          </rPr>
          <t>斷點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連線10" type="4" refreshedVersion="5">
    <webPr sourceData="1" xl2000="1" url="http://www.cnyes.com/twstock/Technical/2485.htm" htmlTables="1">
      <tables count="1">
        <x v="2"/>
      </tables>
    </webPr>
  </connection>
  <connection id="2" name="連線1024" type="4" refreshedVersion="0" background="1">
    <webPr url="http://www.emega.com.tw/z/zc/zch/zch_2108.djhtm" htmlTables="1" htmlFormat="all"/>
  </connection>
  <connection id="3" name="連線1036" type="4" refreshedVersion="0" background="1">
    <webPr url="http://www.tdcc.com.tw/smWeb/QryStock.jsp?SCA_DATE=待讀清單&amp;SqlMethod=StockNo&amp;StockNo=1449&amp;StockName=&amp;sub=%ACd%B8%DF" htmlTables="1" htmlFormat="all"/>
  </connection>
  <connection id="4" name="連線1047" type="4" refreshedVersion="0" background="1">
    <webPr url="http://www.tdcc.com.tw/smWeb/QryStock.jsp?SCA_DATE=20150401&amp;SqlMethod=StockNo&amp;StockNo=1338&amp;StockName=&amp;sub=%ACd%B8%DF" htmlTables="1" htmlFormat="all"/>
  </connection>
  <connection id="5" name="連線1081" type="4" refreshedVersion="0" background="1">
    <webPr url="http://www.tdcc.com.tw/smWeb/QryStock.jsp?SCA_DATE=20150522&amp;SqlMethod=StockNo&amp;StockNo=1316&amp;StockName=&amp;sub=%ACd%B8%DF" htmlTables="1" htmlFormat="all"/>
  </connection>
  <connection id="6" name="連線11" type="4" refreshedVersion="0" background="1">
    <webPr url="http://www.tdcc.com.tw/smWeb/QryStock.jsp?SCA_DATE=20150605&amp;SqlMethod=StockNo&amp;StockNo=1310&amp;StockName=&amp;sub=%ACd%B8%DF" htmlTables="1" htmlFormat="all"/>
  </connection>
  <connection id="7" name="連線12" type="4" refreshedVersion="5">
    <webPr sourceData="1" xl2000="1" url="http://www.cnyes.com/twstock/Technical/2515.htm" htmlTables="1">
      <tables count="1">
        <x v="2"/>
      </tables>
    </webPr>
  </connection>
  <connection id="8" name="連線122" type="4" refreshedVersion="0" background="1">
    <webPr url="http://www.tdcc.com.tw/smWeb/QryStock.jsp?SCA_DATE=20150401&amp;SqlMethod=StockNo&amp;StockNo=1340&amp;StockName=&amp;sub=%ACd%B8%DF" htmlTables="1" htmlFormat="all"/>
  </connection>
  <connection id="9" name="連線13" type="4" refreshedVersion="0" background="1">
    <webPr url="http://www.tdcc.com.tw/smWeb/QryStock.jsp?SCA_DATE=20150430&amp;SqlMethod=StockNo&amp;StockNo=3675&amp;StockName=&amp;sub=%ACd%B8%DF" htmlTables="1" htmlFormat="all"/>
  </connection>
  <connection id="10" name="連線1389" type="4" refreshedVersion="0" background="1">
    <webPr url="http://www.emega.com.tw/z/zc/zcn/zcn.djhtm?a=6431&amp;b=4" htmlTables="1" htmlFormat="all"/>
  </connection>
  <connection id="11" name="連線14" type="4" refreshedVersion="5">
    <webPr sourceData="1" xl2000="1" url="http://www.cnyes.com/twstock/Technical/3018.htm" htmlTables="1">
      <tables count="1">
        <x v="2"/>
      </tables>
    </webPr>
  </connection>
  <connection id="12" name="連線1431" type="4" refreshedVersion="0" background="1">
    <webPr url="http://www.tdcc.com.tw/smWeb/QryStock.jsp?SCA_DATE=20150529&amp;SqlMethod=StockNo&amp;StockNo=1593&amp;StockName=&amp;sub=%ACd%B8%DF" htmlTables="1" htmlFormat="all"/>
  </connection>
  <connection id="13" name="連線15" type="4" refreshedVersion="5">
    <webPr sourceData="1" xl2000="1" url="http://www.cnyes.com/twstock/Technical/3094.htm" htmlTables="1">
      <tables count="1">
        <x v="2"/>
      </tables>
    </webPr>
  </connection>
  <connection id="14" name="連線1515" type="4" refreshedVersion="0" background="1">
    <webPr url="http://www.tdcc.com.tw/smWeb/QryStock.jsp?SCA_DATE=20150522&amp;SqlMethod=StockNo&amp;StockNo=1443&amp;StockName=&amp;sub=%ACd%B8%DF" htmlTables="1" htmlFormat="all"/>
  </connection>
  <connection id="15" name="連線16" type="4" refreshedVersion="5">
    <webPr sourceData="1" xl2000="1" url="http://www.cnyes.com/twstock/Technical/3293.htm" htmlTables="1">
      <tables count="1">
        <x v="2"/>
      </tables>
    </webPr>
  </connection>
  <connection id="16" name="連線17" type="4" refreshedVersion="5">
    <webPr sourceData="1" xl2000="1" url="http://www.cnyes.com/twstock/Technical/3303.htm" htmlTables="1">
      <tables count="1">
        <x v="2"/>
      </tables>
    </webPr>
  </connection>
  <connection id="17" name="連線1758" type="4" refreshedVersion="0" background="1">
    <webPr url="http://www.tdcc.com.tw/smWeb/QryStock.jsp?SCA_DATE=20150605&amp;SqlMethod=StockNo&amp;StockNo=3085&amp;StockName=&amp;sub=%ACd%B8%DF" htmlTables="1" htmlFormat="all"/>
  </connection>
  <connection id="18" name="連線1781" type="4" refreshedVersion="0" background="1">
    <webPr url="http://www.tdcc.com.tw/smWeb/QryStock.jsp?SCA_DATE=20150529&amp;SqlMethod=StockNo&amp;StockNo=1213&amp;StockName=&amp;sub=%ACd%B8%DF" htmlTables="1" htmlFormat="all"/>
  </connection>
  <connection id="19" name="連線1785" type="4" refreshedVersion="0" background="1">
    <webPr url="http://www.tdcc.com.tw/smWeb/QryStock.jsp?SCA_DATE=20150605&amp;SqlMethod=StockNo&amp;StockNo=1319&amp;StockName=&amp;sub=%ACd%B8%DF" htmlTables="1" htmlFormat="all"/>
  </connection>
  <connection id="20" name="連線18" type="4" refreshedVersion="5">
    <webPr sourceData="1" xl2000="1" url="http://www.cnyes.com/twstock/Technical/3323.htm" htmlTables="1">
      <tables count="1">
        <x v="2"/>
      </tables>
    </webPr>
  </connection>
  <connection id="21" name="連線184" type="4" refreshedVersion="0" background="1">
    <webPr url="http://www.cnyes.com/twstock/Technical/8928.htm" htmlTables="1" htmlFormat="all"/>
  </connection>
  <connection id="22" name="連線19" type="4" refreshedVersion="0" background="1">
    <webPr url="http://www.tdcc.com.tw/smWeb/QryStock.jsp?SCA_DATE=20150508&amp;SqlMethod=StockNo&amp;StockNo=1539&amp;StockName=&amp;sub=%ACd%B8%DF" htmlTables="1" htmlFormat="all"/>
  </connection>
  <connection id="23" name="連線1938" type="4" refreshedVersion="0" background="1">
    <webPr url="http://www.tdcc.com.tw/smWeb/QryStock.jsp?SCA_DATE=20150605&amp;SqlMethod=StockNo&amp;StockNo=1446&amp;StockName=&amp;sub=%ACd%B8%DF" htmlTables="1" htmlFormat="all"/>
  </connection>
  <connection id="24" name="連線196" type="4" refreshedVersion="0" background="1">
    <webPr url="http://www.emega.com.tw/z/zc/zch/zch_6171.djhtm" htmlTables="1" htmlFormat="all"/>
  </connection>
  <connection id="25" name="連線2" type="4" refreshedVersion="5">
    <webPr sourceData="1" xl2000="1" url="http://www.cnyes.com/twstock/Technical/1325.htm" htmlTables="1">
      <tables count="1">
        <x v="2"/>
      </tables>
    </webPr>
  </connection>
  <connection id="26" name="連線20" type="4" refreshedVersion="0" background="1">
    <webPr url="http://www.emega.com.tw/z/zc/zch/zch_1409.djhtm" htmlTables="1" htmlFormat="all"/>
  </connection>
  <connection id="27" name="連線2027" type="4" refreshedVersion="0" background="1">
    <webPr url="http://www.tdcc.com.tw/smWeb/QryStock.jsp?SCA_DATE=20150529&amp;SqlMethod=StockNo&amp;StockNo=1446&amp;StockName=&amp;sub=%ACd%B8%DF" htmlTables="1" htmlFormat="all"/>
  </connection>
  <connection id="28" name="連線21" type="4" refreshedVersion="5">
    <webPr sourceData="1" xl2000="1" url="http://www.cnyes.com/twstock/Technical/3533.htm" htmlTables="1">
      <tables count="1">
        <x v="2"/>
      </tables>
    </webPr>
  </connection>
  <connection id="29" name="連線2119" type="4" refreshedVersion="0" background="1">
    <webPr url="http://www.tdcc.com.tw/smWeb/QryStock.jsp?SCA_DATE=20150529&amp;SqlMethod=StockNo&amp;StockNo=1227&amp;StockName=&amp;sub=%ACd%B8%DF" htmlTables="1" htmlFormat="all"/>
  </connection>
  <connection id="30" name="連線212" type="4" refreshedVersion="0" background="1">
    <webPr url="http://www.tdcc.com.tw/smWeb/QryStock.jsp?SCA_DATE=20150401&amp;SqlMethod=StockNo&amp;StockNo=6224&amp;StockName=&amp;sub=%ACd%B8%DF" htmlTables="1" htmlFormat="all"/>
  </connection>
  <connection id="31" name="連線22" type="4" refreshedVersion="5">
    <webPr sourceData="1" xl2000="1" url="http://www.cnyes.com/twstock/Technical/3576.htm" htmlTables="1">
      <tables count="1">
        <x v="2"/>
      </tables>
    </webPr>
  </connection>
  <connection id="32" name="連線23" type="4" refreshedVersion="5">
    <webPr sourceData="1" xl2000="1" url="http://www.cnyes.com/twstock/Technical/3584.htm" htmlTables="1">
      <tables count="1">
        <x v="2"/>
      </tables>
    </webPr>
  </connection>
  <connection id="33" name="連線2320" type="4" refreshedVersion="0" background="1">
    <webPr url="http://www.tdcc.com.tw/smWeb/QryStock.jsp?SCA_DATE=20150605&amp;SqlMethod=StockNo&amp;StockNo=3584&amp;StockName=&amp;sub=%ACd%B8%DF" htmlTables="1" htmlFormat="all"/>
  </connection>
  <connection id="34" name="連線24" type="4" refreshedVersion="5">
    <webPr sourceData="1" xl2000="1" url="http://www.cnyes.com/twstock/Technical/3591.htm" htmlTables="1">
      <tables count="1">
        <x v="2"/>
      </tables>
    </webPr>
  </connection>
  <connection id="35" name="連線25" type="4" refreshedVersion="5">
    <webPr sourceData="1" xl2000="1" url="http://www.cnyes.com/twstock/Technical/3663.htm" htmlTables="1">
      <tables count="1">
        <x v="2"/>
      </tables>
    </webPr>
  </connection>
  <connection id="36" name="連線258" type="4" refreshedVersion="0" background="1">
    <webPr url="http://www.cnyes.com/twstock/Technical/3675.htm" htmlTables="1" htmlFormat="all"/>
  </connection>
  <connection id="37" name="連線26" type="4" refreshedVersion="5">
    <webPr sourceData="1" xl2000="1" url="http://www.cnyes.com/twstock/Technical/3689.htm" htmlTables="1">
      <tables count="1">
        <x v="2"/>
      </tables>
    </webPr>
  </connection>
  <connection id="38" name="連線2626" type="4" refreshedVersion="0" background="1">
    <webPr url="http://www.tdcc.com.tw/smWeb/QryStock.jsp?SCA_DATE=20150605&amp;SqlMethod=StockNo&amp;StockNo=1806&amp;StockName=&amp;sub=%ACd%B8%DF" htmlTables="1" htmlFormat="all"/>
  </connection>
  <connection id="39" name="連線27" type="4" refreshedVersion="5">
    <webPr sourceData="1" xl2000="1" url="http://www.cnyes.com/twstock/Technical/4105.htm" htmlTables="1">
      <tables count="1">
        <x v="2"/>
      </tables>
    </webPr>
  </connection>
  <connection id="40" name="連線272" type="4" refreshedVersion="0" background="1">
    <webPr url="http://www.emega.com.tw/z/zc/zch/zch_2102.djhtm" htmlTables="1" htmlFormat="all"/>
  </connection>
  <connection id="41" name="連線28" type="4" refreshedVersion="5">
    <webPr sourceData="1" xl2000="1" url="http://www.cnyes.com/twstock/Technical/4119.htm" htmlTables="1">
      <tables count="1">
        <x v="2"/>
      </tables>
    </webPr>
  </connection>
  <connection id="42" name="連線29" type="4" refreshedVersion="5">
    <webPr sourceData="1" xl2000="1" url="http://www.cnyes.com/twstock/Technical/4401.htm" htmlTables="1">
      <tables count="1">
        <x v="2"/>
      </tables>
    </webPr>
  </connection>
  <connection id="43" name="連線3" type="4" refreshedVersion="5">
    <webPr sourceData="1" xl2000="1" url="http://www.cnyes.com/twstock/Technical/1413.htm" htmlTables="1">
      <tables count="1">
        <x v="2"/>
      </tables>
    </webPr>
  </connection>
  <connection id="44" name="連線30" type="4" refreshedVersion="5">
    <webPr sourceData="1" xl2000="1" url="http://www.cnyes.com/twstock/Technical/4721.htm" htmlTables="1">
      <tables count="1">
        <x v="2"/>
      </tables>
    </webPr>
  </connection>
  <connection id="45" name="連線31" type="4" refreshedVersion="5">
    <webPr sourceData="1" xl2000="1" url="http://www.cnyes.com/twstock/Technical/4947.htm" htmlTables="1">
      <tables count="1">
        <x v="2"/>
      </tables>
    </webPr>
  </connection>
  <connection id="46" name="連線32" type="4" refreshedVersion="5">
    <webPr sourceData="1" xl2000="1" url="http://www.cnyes.com/twstock/Technical/5310.htm" htmlTables="1">
      <tables count="1">
        <x v="2"/>
      </tables>
    </webPr>
  </connection>
  <connection id="47" name="連線33" type="4" refreshedVersion="5">
    <webPr sourceData="1" xl2000="1" url="http://www.cnyes.com/twstock/Technical/5356.htm" htmlTables="1">
      <tables count="1">
        <x v="2"/>
      </tables>
    </webPr>
  </connection>
  <connection id="48" name="連線338" type="4" refreshedVersion="0" background="1">
    <webPr url="http://www.emega.com.tw/z/zc/zch/zch_1517.djhtm" htmlTables="1" htmlFormat="all"/>
  </connection>
  <connection id="49" name="連線34" type="4" refreshedVersion="5">
    <webPr sourceData="1" xl2000="1" url="http://www.cnyes.com/twstock/Technical/6123.htm" htmlTables="1">
      <tables count="1">
        <x v="2"/>
      </tables>
    </webPr>
  </connection>
  <connection id="50" name="連線35" type="4" refreshedVersion="5">
    <webPr sourceData="1" xl2000="1" url="http://www.cnyes.com/twstock/Technical/6150.htm" htmlTables="1">
      <tables count="1">
        <x v="2"/>
      </tables>
    </webPr>
  </connection>
  <connection id="51" name="連線36" type="4" refreshedVersion="0" background="1">
    <webPr url="http://www.emega.com.tw/z/zc/zch/zch_1452.djhtm" htmlTables="1" htmlFormat="all"/>
  </connection>
  <connection id="52" name="連線360" type="4" refreshedVersion="0" background="1">
    <webPr url="http://www.cnyes.com/twstock/Technical/2106.htm" htmlTables="1" htmlFormat="all"/>
  </connection>
  <connection id="53" name="連線369" type="4" refreshedVersion="0" background="1">
    <webPr url="http://www.emega.com.tw/z/zc/zch/zch_1446.djhtm" htmlTables="1" htmlFormat="all"/>
  </connection>
  <connection id="54" name="連線37" type="4" refreshedVersion="0" background="1">
    <webPr url="http://www.emega.com.tw/z/zc/zch/zch_2637.djhtm" htmlTables="1" htmlFormat="all"/>
  </connection>
  <connection id="55" name="連線376" type="4" refreshedVersion="0" background="1">
    <webPr url="http://www.emega.com.tw/z/zc/zch/zch_2424.djhtm" htmlTables="1" htmlFormat="all"/>
  </connection>
  <connection id="56" name="連線38" type="4" refreshedVersion="5">
    <webPr sourceData="1" xl2000="1" url="http://www.cnyes.com/twstock/Technical/6151.htm" htmlTables="1">
      <tables count="1">
        <x v="2"/>
      </tables>
    </webPr>
  </connection>
  <connection id="57" name="連線39" type="4" refreshedVersion="5">
    <webPr sourceData="1" xl2000="1" url="http://www.cnyes.com/twstock/Technical/6180.htm" htmlTables="1">
      <tables count="1">
        <x v="2"/>
      </tables>
    </webPr>
  </connection>
  <connection id="58" name="連線4" type="4" refreshedVersion="5">
    <webPr sourceData="1" xl2000="1" url="http://www.cnyes.com/twstock/Technical/1445.htm" htmlTables="1">
      <tables count="1">
        <x v="2"/>
      </tables>
    </webPr>
  </connection>
  <connection id="59" name="連線40" type="4" refreshedVersion="5">
    <webPr sourceData="1" xl2000="1" url="http://www.cnyes.com/twstock/Technical/6244.htm" htmlTables="1">
      <tables count="1">
        <x v="2"/>
      </tables>
    </webPr>
  </connection>
  <connection id="60" name="連線41" type="4" refreshedVersion="5">
    <webPr sourceData="1" xl2000="1" url="http://www.cnyes.com/twstock/Technical/6266.htm" htmlTables="1">
      <tables count="1">
        <x v="2"/>
      </tables>
    </webPr>
  </connection>
  <connection id="61" name="連線42" type="4" refreshedVersion="5">
    <webPr sourceData="1" xl2000="1" url="http://www.cnyes.com/twstock/Technical/6270.htm" htmlTables="1">
      <tables count="1">
        <x v="2"/>
      </tables>
    </webPr>
  </connection>
  <connection id="62" name="連線43" type="4" refreshedVersion="5">
    <webPr sourceData="1" xl2000="1" url="http://www.cnyes.com/twstock/Technical/6274.htm" htmlTables="1">
      <tables count="1">
        <x v="2"/>
      </tables>
    </webPr>
  </connection>
  <connection id="63" name="連線44" type="4" refreshedVersion="5">
    <webPr sourceData="1" xl2000="1" url="http://www.cnyes.com/twstock/Technical/6506.htm" htmlTables="1">
      <tables count="1">
        <x v="2"/>
      </tables>
    </webPr>
  </connection>
  <connection id="64" name="連線45" type="4" refreshedVersion="5">
    <webPr sourceData="1" xl2000="1" url="http://www.cnyes.com/twstock/Technical/8038.htm" htmlTables="1">
      <tables count="1">
        <x v="2"/>
      </tables>
    </webPr>
  </connection>
  <connection id="65" name="連線46" type="4" refreshedVersion="5">
    <webPr sourceData="1" xl2000="1" url="http://www.cnyes.com/twstock/Technical/8039.htm" htmlTables="1">
      <tables count="1">
        <x v="2"/>
      </tables>
    </webPr>
  </connection>
  <connection id="66" name="連線47" type="4" refreshedVersion="5">
    <webPr sourceData="1" xl2000="1" url="http://www.cnyes.com/twstock/Technical/8054.htm" htmlTables="1">
      <tables count="1">
        <x v="2"/>
      </tables>
    </webPr>
  </connection>
  <connection id="67" name="連線49" type="4" refreshedVersion="5">
    <webPr sourceData="1" xl2000="1" url="http://www.cnyes.com/twstock/Technical/8071.htm" htmlTables="1">
      <tables count="1">
        <x v="2"/>
      </tables>
    </webPr>
  </connection>
  <connection id="68" name="連線5" type="4" refreshedVersion="5">
    <webPr sourceData="1" xl2000="1" url="http://www.cnyes.com/twstock/Technical/1506.htm" htmlTables="1">
      <tables count="1">
        <x v="2"/>
      </tables>
    </webPr>
  </connection>
  <connection id="69" name="連線50" type="4" refreshedVersion="5">
    <webPr sourceData="1" xl2000="1" url="http://www.cnyes.com/twstock/Technical/9942.htm" htmlTables="1">
      <tables count="1">
        <x v="2"/>
      </tables>
    </webPr>
  </connection>
  <connection id="70" name="連線52" type="4" refreshedVersion="0" background="1">
    <webPr url="http://www.emega.com.tw/z/zc/zch/zch_1471.djhtm" htmlTables="1" htmlFormat="all"/>
  </connection>
  <connection id="71" name="連線56" type="4" refreshedVersion="0" background="1">
    <webPr url="http://www.tdcc.com.tw/smWeb/QryStock.jsp?SCA_DATE=20150605&amp;SqlMethod=StockNo&amp;StockNo=1539&amp;StockName=&amp;sub=%ACd%B8%DF" htmlTables="1" htmlFormat="all"/>
  </connection>
  <connection id="72" name="連線586" type="4" refreshedVersion="0" background="1">
    <webPr url="http://www.emega.com.tw/z/zc/zch/zch_2115.djhtm" htmlTables="1" htmlFormat="all"/>
  </connection>
  <connection id="73" name="連線59" type="4" refreshedVersion="0" background="1">
    <webPr url="http://justdata.yuanta.com.tw/z/zc/zcl/zcl.djhtm?a=2441&amp;b=2" htmlTables="1" htmlFormat="all"/>
  </connection>
  <connection id="74" name="連線6" type="4" refreshedVersion="0" background="1">
    <webPr url="http://www.tdcc.com.tw/smWeb/QryStock.jsp?SCA_DATE=20150522&amp;SqlMethod=StockNo&amp;StockNo=1312&amp;StockName=&amp;sub=%ACd%B8%DF" htmlTables="1" htmlFormat="all"/>
  </connection>
  <connection id="75" name="連線645" type="4" refreshedVersion="0" background="1">
    <webPr url="http://www.emega.com.tw/z/zc/zch/zch_2349.djhtm" htmlTables="1" htmlFormat="all"/>
  </connection>
  <connection id="76" name="連線682" type="4" refreshedVersion="0" background="1">
    <webPr url="http://www.tdcc.com.tw/smWeb/QryStock.jsp?SCA_DATE=20150605&amp;SqlMethod=StockNo&amp;StockNo=1612&amp;StockName=&amp;sub=%ACd%B8%DF" htmlTables="1" htmlFormat="all"/>
  </connection>
  <connection id="77" name="連線7" type="4" refreshedVersion="5">
    <webPr sourceData="1" xl2000="1" url="http://www.cnyes.com/twstock/Technical/1565.htm" htmlTables="1">
      <tables count="1">
        <x v="2"/>
      </tables>
    </webPr>
  </connection>
  <connection id="78" name="連線765" type="4" refreshedVersion="0" background="1">
    <webPr url="http://www.tdcc.com.tw/smWeb/QryStock.jsp?SCA_DATE=20150508&amp;SqlMethod=StockNo&amp;StockNo=1444&amp;StockName=&amp;sub=%ACd%B8%DF" htmlTables="1" htmlFormat="all"/>
  </connection>
  <connection id="79" name="連線77" type="4" refreshedVersion="0" background="1">
    <webPr url="http://www.emega.com.tw/z/zc/zch/zch_6286.djhtm" htmlTables="1" htmlFormat="all"/>
  </connection>
  <connection id="80" name="連線778" type="4" refreshedVersion="0" background="1">
    <webPr url="http://www.tdcc.com.tw/smWeb/QryStock.jsp?SCA_DATE=20150605&amp;SqlMethod=StockNo&amp;StockNo=1314&amp;StockName=&amp;sub=%ACd%B8%DF" htmlTables="1" htmlFormat="all"/>
  </connection>
  <connection id="81" name="連線790" type="4" refreshedVersion="0" background="1">
    <webPr url="http://www.tdcc.com.tw/smWeb/QryStock.jsp?SCA_DATE=20150605&amp;SqlMethod=StockNo&amp;StockNo=1310&amp;StockName=&amp;sub=%ACd%B8%DF" htmlTables="1" htmlFormat="all"/>
  </connection>
  <connection id="82" name="連線799" type="4" refreshedVersion="0" background="1">
    <webPr url="http://www.emega.com.tw/z/zc/zch/zch_6171.djhtm" htmlTables="1" htmlFormat="all"/>
  </connection>
  <connection id="83" name="連線8" type="4" refreshedVersion="5">
    <webPr sourceData="1" xl2000="1" url="http://www.cnyes.com/twstock/Technical/2375.htm" htmlTables="1">
      <tables count="1">
        <x v="2"/>
      </tables>
    </webPr>
  </connection>
  <connection id="84" name="連線83" type="4" refreshedVersion="0" background="1">
    <webPr url="http://justdata.yuanta.com.tw/z/zc/zcl/zcl.djhtm?a=2455&amp;b=2" htmlTables="1" htmlFormat="all"/>
  </connection>
  <connection id="85" name="連線888" type="4" refreshedVersion="0" background="1">
    <webPr url="http://www.tdcc.com.tw/smWeb/QryStock.jsp?SCA_DATE=20150508&amp;SqlMethod=StockNo&amp;StockNo=3005&amp;StockName=&amp;sub=%ACd%B8%DF" htmlTables="1" htmlFormat="all"/>
  </connection>
  <connection id="86" name="連線9" type="4" refreshedVersion="5">
    <webPr sourceData="1" xl2000="1" url="http://www.cnyes.com/twstock/Technical/2383.htm" htmlTables="1">
      <tables count="1">
        <x v="2"/>
      </tables>
    </webPr>
  </connection>
  <connection id="87" name="連線930" type="4" refreshedVersion="0" background="1">
    <webPr url="http://www.emega.com.tw/z/zc/zch/zch_3706.djhtm" htmlTables="1" htmlFormat="all"/>
  </connection>
  <connection id="88" name="連線940" type="4" refreshedVersion="0" background="1">
    <webPr url="http://www.tdcc.com.tw/smWeb/QryStock.jsp?SCA_DATE=20150508&amp;SqlMethod=StockNo&amp;StockNo=1470&amp;StockName=&amp;sub=%ACd%B8%DF" htmlTables="1" htmlFormat="all"/>
  </connection>
  <connection id="89" name="連線97" type="4" refreshedVersion="0" background="1">
    <webPr url="http://www.tdcc.com.tw/smWeb/QryStock.jsp?SCA_DATE=20150302&amp;SqlMethod=StockNo&amp;StockNo=2010&amp;StockName=&amp;sub=%ACd%B8%DF" htmlTables="1" htmlFormat="all"/>
  </connection>
</connections>
</file>

<file path=xl/sharedStrings.xml><?xml version="1.0" encoding="utf-8"?>
<sst xmlns="http://schemas.openxmlformats.org/spreadsheetml/2006/main" count="1617" uniqueCount="687">
  <si>
    <t>體質檢測</t>
    <phoneticPr fontId="2" type="noConversion"/>
  </si>
  <si>
    <t>數字(百萬)</t>
    <phoneticPr fontId="2" type="noConversion"/>
  </si>
  <si>
    <t>Q-7</t>
    <phoneticPr fontId="2" type="noConversion"/>
  </si>
  <si>
    <t>Q-6</t>
    <phoneticPr fontId="2" type="noConversion"/>
  </si>
  <si>
    <t>Q-5</t>
  </si>
  <si>
    <t>Q-4</t>
  </si>
  <si>
    <t>Q-3</t>
  </si>
  <si>
    <t>Q-2</t>
  </si>
  <si>
    <t>Q-1</t>
  </si>
  <si>
    <t>Q</t>
    <phoneticPr fontId="2" type="noConversion"/>
  </si>
  <si>
    <t>極端值</t>
    <phoneticPr fontId="2" type="noConversion"/>
  </si>
  <si>
    <t>營業收入淨額</t>
  </si>
  <si>
    <t>營業成本</t>
  </si>
  <si>
    <t>營業外收入合計</t>
    <phoneticPr fontId="2" type="noConversion"/>
  </si>
  <si>
    <t>本期稅後淨利</t>
  </si>
  <si>
    <t>每股盈餘 (元)</t>
  </si>
  <si>
    <t xml:space="preserve"> 存貨</t>
  </si>
  <si>
    <t xml:space="preserve"> 應付帳款及票據</t>
  </si>
  <si>
    <t>負債總額</t>
  </si>
  <si>
    <t>資產總額</t>
  </si>
  <si>
    <t>來自營運之現金流量</t>
  </si>
  <si>
    <t xml:space="preserve"> 固定資產(購置)</t>
  </si>
  <si>
    <t xml:space="preserve"> 長期投資(新增)</t>
  </si>
  <si>
    <t xml:space="preserve"> 折舊</t>
    <phoneticPr fontId="2" type="noConversion"/>
  </si>
  <si>
    <t xml:space="preserve"> 攤提</t>
    <phoneticPr fontId="2" type="noConversion"/>
  </si>
  <si>
    <t>股東權益總額</t>
    <phoneticPr fontId="2" type="noConversion"/>
  </si>
  <si>
    <t>毛利率</t>
  </si>
  <si>
    <t>營益率</t>
    <phoneticPr fontId="2" type="noConversion"/>
  </si>
  <si>
    <t xml:space="preserve">負債比 </t>
  </si>
  <si>
    <t>付款天數</t>
    <phoneticPr fontId="2" type="noConversion"/>
  </si>
  <si>
    <t>收款天數</t>
  </si>
  <si>
    <t>出貨天數</t>
  </si>
  <si>
    <t>營運天數</t>
  </si>
  <si>
    <t>折舊+攤提</t>
  </si>
  <si>
    <t>折舊與攤提率</t>
  </si>
  <si>
    <t>營業現金效益</t>
    <phoneticPr fontId="2" type="noConversion"/>
  </si>
  <si>
    <t>本業基期</t>
    <phoneticPr fontId="2" type="noConversion"/>
  </si>
  <si>
    <t>本業比率</t>
    <phoneticPr fontId="2" type="noConversion"/>
  </si>
  <si>
    <t>ROE</t>
    <phoneticPr fontId="2" type="noConversion"/>
  </si>
  <si>
    <t>基本面[50%]</t>
    <phoneticPr fontId="2" type="noConversion"/>
  </si>
  <si>
    <t>K線[15%]</t>
    <phoneticPr fontId="2" type="noConversion"/>
  </si>
  <si>
    <t>籌碼[28%]</t>
    <phoneticPr fontId="2" type="noConversion"/>
  </si>
  <si>
    <t>[7%]</t>
    <phoneticPr fontId="2" type="noConversion"/>
  </si>
  <si>
    <t>評比</t>
    <phoneticPr fontId="2" type="noConversion"/>
  </si>
  <si>
    <t>附註說明</t>
    <phoneticPr fontId="2" type="noConversion"/>
  </si>
  <si>
    <t>季線</t>
    <phoneticPr fontId="2" type="noConversion"/>
  </si>
  <si>
    <t>外資</t>
    <phoneticPr fontId="2" type="noConversion"/>
  </si>
  <si>
    <t>集保</t>
    <phoneticPr fontId="2" type="noConversion"/>
  </si>
  <si>
    <t>融資</t>
    <phoneticPr fontId="2" type="noConversion"/>
  </si>
  <si>
    <t>營收</t>
    <phoneticPr fontId="2" type="noConversion"/>
  </si>
  <si>
    <t>合計</t>
    <phoneticPr fontId="2" type="noConversion"/>
  </si>
  <si>
    <t>PE</t>
    <phoneticPr fontId="2" type="noConversion"/>
  </si>
  <si>
    <t>蘭值</t>
    <phoneticPr fontId="2" type="noConversion"/>
  </si>
  <si>
    <t>標的</t>
    <phoneticPr fontId="2" type="noConversion"/>
  </si>
  <si>
    <t>代碼</t>
    <phoneticPr fontId="2" type="noConversion"/>
  </si>
  <si>
    <t>名稱</t>
    <phoneticPr fontId="2" type="noConversion"/>
  </si>
  <si>
    <t>EPS</t>
    <phoneticPr fontId="2" type="noConversion"/>
  </si>
  <si>
    <t>純益</t>
    <phoneticPr fontId="2" type="noConversion"/>
  </si>
  <si>
    <t>周轉率</t>
    <phoneticPr fontId="2" type="noConversion"/>
  </si>
  <si>
    <t>現流</t>
    <phoneticPr fontId="2" type="noConversion"/>
  </si>
  <si>
    <t>擴廠</t>
    <phoneticPr fontId="2" type="noConversion"/>
  </si>
  <si>
    <t>NPE</t>
    <phoneticPr fontId="2" type="noConversion"/>
  </si>
  <si>
    <t>KPI</t>
    <phoneticPr fontId="2" type="noConversion"/>
  </si>
  <si>
    <t>備註紀錄:</t>
    <phoneticPr fontId="2" type="noConversion"/>
  </si>
  <si>
    <t>自由現金流量</t>
    <phoneticPr fontId="2" type="noConversion"/>
  </si>
  <si>
    <t>單位:百萬</t>
  </si>
  <si>
    <t>蘭弦  2015/Q1  選股追蹤</t>
    <phoneticPr fontId="2" type="noConversion"/>
  </si>
  <si>
    <t>糾結</t>
    <phoneticPr fontId="2" type="noConversion"/>
  </si>
  <si>
    <t>特1_反映淨值比_等待</t>
    <phoneticPr fontId="2" type="noConversion"/>
  </si>
  <si>
    <t>特2_價值浮現</t>
    <phoneticPr fontId="2" type="noConversion"/>
  </si>
  <si>
    <t>特3_垃圾黃金股</t>
    <phoneticPr fontId="2" type="noConversion"/>
  </si>
  <si>
    <t>內容摘要</t>
    <phoneticPr fontId="2" type="noConversion"/>
  </si>
  <si>
    <t>特4_減資效應</t>
    <phoneticPr fontId="2" type="noConversion"/>
  </si>
  <si>
    <t>20之01_強者恆強</t>
    <phoneticPr fontId="2" type="noConversion"/>
  </si>
  <si>
    <t>20之02_高成長  高本益比</t>
    <phoneticPr fontId="2" type="noConversion"/>
  </si>
  <si>
    <t>20之03_集保特殊性</t>
    <phoneticPr fontId="2" type="noConversion"/>
  </si>
  <si>
    <t>20之05_驗證趨勢長短</t>
    <phoneticPr fontId="2" type="noConversion"/>
  </si>
  <si>
    <t>20之06_風險最低的股</t>
    <phoneticPr fontId="2" type="noConversion"/>
  </si>
  <si>
    <t>20之07_低本益比  趨勢多頭股</t>
    <phoneticPr fontId="2" type="noConversion"/>
  </si>
  <si>
    <t>20之08_財務趨勢推測股</t>
    <phoneticPr fontId="2" type="noConversion"/>
  </si>
  <si>
    <t>20之09_橫盤待變股</t>
    <phoneticPr fontId="2" type="noConversion"/>
  </si>
  <si>
    <t>20之10_季線買點股</t>
    <phoneticPr fontId="2" type="noConversion"/>
  </si>
  <si>
    <t>20之11_翻身股</t>
    <phoneticPr fontId="2" type="noConversion"/>
  </si>
  <si>
    <t>20之12_強者恆強</t>
    <phoneticPr fontId="2" type="noConversion"/>
  </si>
  <si>
    <t>20之13_底部起漲股</t>
    <phoneticPr fontId="2" type="noConversion"/>
  </si>
  <si>
    <t>20之14_融資落底起漲股</t>
    <phoneticPr fontId="2" type="noConversion"/>
  </si>
  <si>
    <t>20之15_想測試趨勢有多長?</t>
    <phoneticPr fontId="2" type="noConversion"/>
  </si>
  <si>
    <t>20之16_季線-10%買點股'</t>
    <phoneticPr fontId="2" type="noConversion"/>
  </si>
  <si>
    <t>20之17_最佳進場點測試股</t>
    <phoneticPr fontId="2" type="noConversion"/>
  </si>
  <si>
    <t>20之18_產業發燙股</t>
    <phoneticPr fontId="2" type="noConversion"/>
  </si>
  <si>
    <t>20之19_籌碼安定股</t>
    <phoneticPr fontId="2" type="noConversion"/>
  </si>
  <si>
    <t>20之20_破底穿頭拉回股</t>
    <phoneticPr fontId="2" type="noConversion"/>
  </si>
  <si>
    <t>立錡</t>
  </si>
  <si>
    <t>期別</t>
  </si>
  <si>
    <t>104.1Q</t>
  </si>
  <si>
    <t>103.4Q</t>
  </si>
  <si>
    <t>103.3Q</t>
  </si>
  <si>
    <t>103.2Q</t>
  </si>
  <si>
    <t>103.1Q</t>
  </si>
  <si>
    <t>102.4Q</t>
  </si>
  <si>
    <t>102.3Q</t>
  </si>
  <si>
    <t>102.2Q</t>
  </si>
  <si>
    <t>營業毛利</t>
  </si>
  <si>
    <t>聯屬公司已(未)實現銷</t>
  </si>
  <si>
    <t>已實現銷貨毛利</t>
  </si>
  <si>
    <t>營業費用</t>
  </si>
  <si>
    <t>營業費用─推銷費用</t>
  </si>
  <si>
    <t>營業費用─管理費用</t>
  </si>
  <si>
    <t>營業費用─研究發展</t>
  </si>
  <si>
    <t>營業利益</t>
  </si>
  <si>
    <t>利息收入</t>
  </si>
  <si>
    <t>投資收入／股利收入</t>
  </si>
  <si>
    <t>處分投資利得</t>
  </si>
  <si>
    <t>處分資產利得</t>
  </si>
  <si>
    <t>金融資產評價利益</t>
  </si>
  <si>
    <t>金融負債評價利益</t>
  </si>
  <si>
    <t>其他評價利益</t>
  </si>
  <si>
    <t>金融商品減損迴轉</t>
  </si>
  <si>
    <t>減損迴轉利益</t>
  </si>
  <si>
    <t>存貨跌價損失回轉</t>
  </si>
  <si>
    <t>兌換盈益</t>
  </si>
  <si>
    <t>其他收入</t>
  </si>
  <si>
    <t>營業外收入合計</t>
  </si>
  <si>
    <t>利息支出</t>
  </si>
  <si>
    <t>負債性特別股股息</t>
  </si>
  <si>
    <t>投資損失</t>
  </si>
  <si>
    <t>處分投資損失</t>
  </si>
  <si>
    <t>處分資產損失</t>
  </si>
  <si>
    <t>金融資產評價損失</t>
  </si>
  <si>
    <t>金融負債評價損失</t>
  </si>
  <si>
    <t xml:space="preserve">其他評價損失  </t>
  </si>
  <si>
    <t>金融商品減損損失</t>
  </si>
  <si>
    <t>減損損失</t>
  </si>
  <si>
    <t>兌換損失</t>
  </si>
  <si>
    <t>存貨評價損失</t>
  </si>
  <si>
    <t>其他損失</t>
  </si>
  <si>
    <t>營業外支出合計</t>
  </si>
  <si>
    <t>稅前淨利</t>
  </si>
  <si>
    <t>所得稅費用</t>
  </si>
  <si>
    <t>經常利益</t>
  </si>
  <si>
    <t>停業部門損益</t>
  </si>
  <si>
    <t>非常項目</t>
  </si>
  <si>
    <t>累計影響數</t>
  </si>
  <si>
    <t>少數股權前稅後淨利</t>
  </si>
  <si>
    <t>取得多數股權前淨利</t>
  </si>
  <si>
    <t>N/A</t>
  </si>
  <si>
    <t>少數股權淨利</t>
  </si>
  <si>
    <t>子公司董監酬勞</t>
  </si>
  <si>
    <t>稀釋每股盈餘 (元)</t>
  </si>
  <si>
    <t>加權平均股本</t>
  </si>
  <si>
    <t>發放特別股股息</t>
  </si>
  <si>
    <t>EPS －員工分紅費用化</t>
  </si>
  <si>
    <t>庫藏股數--母公司</t>
  </si>
  <si>
    <t>庫藏股數－子公司持有</t>
  </si>
  <si>
    <t>稅前息前淨利</t>
  </si>
  <si>
    <t>稅前息前折舊前淨利</t>
  </si>
  <si>
    <t>常續性稅後淨利</t>
  </si>
  <si>
    <t>以上資料僅供參考，本公司不負任何法律責任，投資人若依此以為買賣依據，須自負盈虧之責。</t>
  </si>
  <si>
    <t>數據以台灣證券交易所與證券櫃檯買賣中心公告之內容為準。</t>
  </si>
  <si>
    <t>稅後淨利</t>
  </si>
  <si>
    <t>不動用現金之非常損益</t>
  </si>
  <si>
    <t xml:space="preserve"> 折舊</t>
  </si>
  <si>
    <t xml:space="preserve"> 攤提</t>
  </si>
  <si>
    <t xml:space="preserve"> 投資收益－權益法</t>
  </si>
  <si>
    <t xml:space="preserve"> 投資損失－權益法</t>
  </si>
  <si>
    <t xml:space="preserve"> 現金股利收入－權益法</t>
  </si>
  <si>
    <t xml:space="preserve"> 短期投資處分損(益)</t>
  </si>
  <si>
    <t xml:space="preserve"> 固定資產處分損(益)</t>
  </si>
  <si>
    <t xml:space="preserve"> 長期投資處分損(益)</t>
  </si>
  <si>
    <t xml:space="preserve"> 準備提列(迴轉)</t>
  </si>
  <si>
    <t xml:space="preserve"> 應收帳款(增)減</t>
  </si>
  <si>
    <t xml:space="preserve"> 存貨(增)減</t>
  </si>
  <si>
    <t xml:space="preserve"> 應付帳款增(減)</t>
  </si>
  <si>
    <t xml:space="preserve"> 其他調整項─營業</t>
  </si>
  <si>
    <t xml:space="preserve"> 短期投資出售(新購)</t>
  </si>
  <si>
    <t xml:space="preserve"> 出售長期投資價款</t>
  </si>
  <si>
    <t xml:space="preserve"> 處分固定資產價款</t>
  </si>
  <si>
    <t xml:space="preserve"> 其他調整項─投資</t>
  </si>
  <si>
    <t>投資活動之現金流量</t>
  </si>
  <si>
    <t xml:space="preserve"> 現金增資</t>
  </si>
  <si>
    <t xml:space="preserve"> 支付現金股利</t>
  </si>
  <si>
    <t xml:space="preserve"> 支付董監酬勞員工紅利</t>
  </si>
  <si>
    <t xml:space="preserve"> 短期借款新增(償還)</t>
  </si>
  <si>
    <t xml:space="preserve"> 長期借款新增(償還)</t>
  </si>
  <si>
    <t xml:space="preserve"> 發行公司債</t>
  </si>
  <si>
    <t xml:space="preserve"> 償還公司債</t>
  </si>
  <si>
    <t xml:space="preserve"> 庫藏股票減(增)</t>
  </si>
  <si>
    <t xml:space="preserve"> 其他調整項─理財</t>
  </si>
  <si>
    <t>理財活動之現金流量</t>
  </si>
  <si>
    <t>匯率影響數</t>
  </si>
  <si>
    <t>本期產生現金流量</t>
  </si>
  <si>
    <t>期初現金約當現金</t>
  </si>
  <si>
    <t>期末現金及約當現金</t>
  </si>
  <si>
    <t>本期支付利息</t>
  </si>
  <si>
    <t>本期支付所得稅</t>
  </si>
  <si>
    <t>[說明]上列會計科目中，投資收益－權益法、長期投資(新增)、固定資產(購置)、</t>
  </si>
  <si>
    <t>支付現金股利與支付董監酬勞員工紅利等科目視為現金流出。</t>
  </si>
  <si>
    <t>股票</t>
  </si>
  <si>
    <t>代號</t>
  </si>
  <si>
    <t>時間</t>
  </si>
  <si>
    <t>成交</t>
  </si>
  <si>
    <t>買進</t>
  </si>
  <si>
    <t>賣出</t>
  </si>
  <si>
    <t>漲跌</t>
  </si>
  <si>
    <t>張數</t>
  </si>
  <si>
    <t>昨收</t>
  </si>
  <si>
    <t>開盤</t>
  </si>
  <si>
    <t>最高</t>
  </si>
  <si>
    <t>最低</t>
  </si>
  <si>
    <t>個股資料</t>
  </si>
  <si>
    <t>加到投資組合</t>
  </si>
  <si>
    <t>成交明細</t>
  </si>
  <si>
    <r>
      <t>技術</t>
    </r>
    <r>
      <rPr>
        <sz val="10"/>
        <color rgb="FF000000"/>
        <rFont val="繚s簡?穢繳?矇"/>
        <family val="3"/>
        <charset val="136"/>
      </rPr>
      <t xml:space="preserve"> </t>
    </r>
    <r>
      <rPr>
        <sz val="10"/>
        <color rgb="FF0000FF"/>
        <rFont val="繚s簡?穢繳?矇"/>
        <family val="3"/>
        <charset val="136"/>
      </rPr>
      <t>新聞</t>
    </r>
  </si>
  <si>
    <r>
      <t>基本</t>
    </r>
    <r>
      <rPr>
        <sz val="10"/>
        <color rgb="FF000000"/>
        <rFont val="繚s簡?穢繳?矇"/>
        <family val="3"/>
        <charset val="136"/>
      </rPr>
      <t xml:space="preserve"> </t>
    </r>
    <r>
      <rPr>
        <sz val="10"/>
        <color rgb="FF0000FF"/>
        <rFont val="繚s簡?穢繳?矇"/>
        <family val="3"/>
        <charset val="136"/>
      </rPr>
      <t>籌碼</t>
    </r>
  </si>
  <si>
    <t>個股健診</t>
  </si>
  <si>
    <t>凱基證券下單</t>
  </si>
  <si>
    <r>
      <t>買</t>
    </r>
    <r>
      <rPr>
        <sz val="12"/>
        <color theme="1"/>
        <rFont val="新細明體"/>
        <family val="2"/>
        <charset val="136"/>
        <scheme val="minor"/>
      </rPr>
      <t xml:space="preserve"> </t>
    </r>
    <r>
      <rPr>
        <sz val="12"/>
        <color rgb="FF009900"/>
        <rFont val="新細明體"/>
        <family val="1"/>
        <charset val="136"/>
        <scheme val="minor"/>
      </rPr>
      <t>賣</t>
    </r>
    <r>
      <rPr>
        <sz val="12"/>
        <color theme="1"/>
        <rFont val="新細明體"/>
        <family val="2"/>
        <charset val="136"/>
        <scheme val="minor"/>
      </rPr>
      <t xml:space="preserve"> </t>
    </r>
    <r>
      <rPr>
        <sz val="12"/>
        <color rgb="FF990066"/>
        <rFont val="新細明體"/>
        <family val="1"/>
        <charset val="136"/>
        <scheme val="minor"/>
      </rPr>
      <t>張</t>
    </r>
    <r>
      <rPr>
        <sz val="12"/>
        <color theme="1"/>
        <rFont val="新細明體"/>
        <family val="2"/>
        <charset val="136"/>
        <scheme val="minor"/>
      </rPr>
      <t xml:space="preserve"> </t>
    </r>
    <r>
      <rPr>
        <sz val="10"/>
        <color rgb="FF0000FF"/>
        <rFont val="Arial"/>
        <family val="2"/>
      </rPr>
      <t>零股交易</t>
    </r>
  </si>
  <si>
    <t>日勝</t>
  </si>
  <si>
    <t>20之04_評分最強股</t>
    <phoneticPr fontId="2" type="noConversion"/>
  </si>
  <si>
    <t>翔名</t>
  </si>
  <si>
    <t>STR_DA</t>
  </si>
  <si>
    <t>STR_DB</t>
  </si>
  <si>
    <t>STR_DC</t>
  </si>
  <si>
    <t>STR_DD</t>
  </si>
  <si>
    <t>營收A</t>
    <phoneticPr fontId="29" type="noConversion"/>
  </si>
  <si>
    <t>http://www.tdcc.com.tw/smWeb/QryStock.jsp</t>
    <phoneticPr fontId="29" type="noConversion"/>
  </si>
  <si>
    <r>
      <rPr>
        <b/>
        <sz val="10"/>
        <color theme="1"/>
        <rFont val="新細明體"/>
        <family val="1"/>
        <charset val="136"/>
      </rPr>
      <t>全數清單</t>
    </r>
    <phoneticPr fontId="29" type="noConversion"/>
  </si>
  <si>
    <t xml:space="preserve"> 現金及約當現金</t>
  </si>
  <si>
    <t xml:space="preserve"> 短期投資</t>
  </si>
  <si>
    <t xml:space="preserve"> 其他應收款</t>
  </si>
  <si>
    <t xml:space="preserve"> 預付費用及預付款</t>
  </si>
  <si>
    <t xml:space="preserve"> 其他流動資產</t>
  </si>
  <si>
    <t>流動資產</t>
  </si>
  <si>
    <t>長期投資</t>
  </si>
  <si>
    <t xml:space="preserve"> 土地成本</t>
  </si>
  <si>
    <t xml:space="preserve"> 房屋及建築成本</t>
  </si>
  <si>
    <t xml:space="preserve"> 機器及儀器設備成本</t>
  </si>
  <si>
    <t xml:space="preserve"> 其他設備成本</t>
  </si>
  <si>
    <t xml:space="preserve"> 固定資產重估增值</t>
  </si>
  <si>
    <t xml:space="preserve"> 固定資產累計折舊</t>
  </si>
  <si>
    <t xml:space="preserve"> 固定資產損失準備</t>
  </si>
  <si>
    <t xml:space="preserve"> 未完工程及預付款</t>
  </si>
  <si>
    <t>固定資產</t>
  </si>
  <si>
    <t xml:space="preserve"> 遞延資產</t>
  </si>
  <si>
    <t xml:space="preserve"> 無形資產</t>
  </si>
  <si>
    <t xml:space="preserve"> 什項資產</t>
  </si>
  <si>
    <t>其他資產</t>
  </si>
  <si>
    <t xml:space="preserve"> 應付費用</t>
  </si>
  <si>
    <t xml:space="preserve"> 預收款項</t>
  </si>
  <si>
    <t xml:space="preserve"> 其他應付款</t>
  </si>
  <si>
    <t xml:space="preserve"> 應付所得稅</t>
  </si>
  <si>
    <t xml:space="preserve"> 一年內到期長期負債</t>
  </si>
  <si>
    <t xml:space="preserve"> 其他流動負債</t>
  </si>
  <si>
    <t>流動負債</t>
  </si>
  <si>
    <t>長期負債</t>
  </si>
  <si>
    <t xml:space="preserve"> 遞延貸項</t>
  </si>
  <si>
    <t xml:space="preserve"> 退休金準備</t>
  </si>
  <si>
    <t xml:space="preserve"> 遞延所得稅</t>
  </si>
  <si>
    <t xml:space="preserve"> 土地增值稅準備</t>
  </si>
  <si>
    <t xml:space="preserve"> 各項損失準備</t>
  </si>
  <si>
    <t xml:space="preserve"> 什項負債</t>
  </si>
  <si>
    <t>其他負債及準備</t>
  </si>
  <si>
    <t>股東權益總額</t>
  </si>
  <si>
    <t>少數股權</t>
  </si>
  <si>
    <t>負債及股東權益總額</t>
  </si>
  <si>
    <t xml:space="preserve"> 應收帳款及票據</t>
  </si>
  <si>
    <t xml:space="preserve"> 短期借支</t>
  </si>
  <si>
    <t xml:space="preserve"> 在建工程</t>
  </si>
  <si>
    <t xml:space="preserve"> 短期借款</t>
  </si>
  <si>
    <t xml:space="preserve"> 應付商業本票</t>
  </si>
  <si>
    <t xml:space="preserve"> 普通股股本</t>
  </si>
  <si>
    <t xml:space="preserve"> 特別股股本</t>
  </si>
  <si>
    <t xml:space="preserve"> 資本公積</t>
  </si>
  <si>
    <t xml:space="preserve"> 法定盈餘公積</t>
  </si>
  <si>
    <t xml:space="preserve"> 特別盈餘公積</t>
  </si>
  <si>
    <t xml:space="preserve"> 未分配盈餘</t>
  </si>
  <si>
    <t xml:space="preserve"> 長期投資評價損失</t>
  </si>
  <si>
    <t>稅前淨利</t>
    <phoneticPr fontId="2" type="noConversion"/>
  </si>
  <si>
    <t>月集保_前兩期日期</t>
    <phoneticPr fontId="29" type="noConversion"/>
  </si>
  <si>
    <t>月集保_前一期日期</t>
    <phoneticPr fontId="29" type="noConversion"/>
  </si>
  <si>
    <t>月集保_最新日期</t>
    <phoneticPr fontId="29" type="noConversion"/>
  </si>
  <si>
    <t>月集保_查詢差異</t>
    <phoneticPr fontId="29" type="noConversion"/>
  </si>
  <si>
    <t>週集保_最新日期</t>
    <phoneticPr fontId="2" type="noConversion"/>
  </si>
  <si>
    <t>週集保_前一期日期</t>
    <phoneticPr fontId="2" type="noConversion"/>
  </si>
  <si>
    <t>週集保_前兩期日期</t>
    <phoneticPr fontId="2" type="noConversion"/>
  </si>
  <si>
    <t>週集保_查詢差異</t>
    <phoneticPr fontId="2" type="noConversion"/>
  </si>
  <si>
    <r>
      <rPr>
        <b/>
        <sz val="10"/>
        <color theme="1"/>
        <rFont val="新細明體"/>
        <family val="1"/>
        <charset val="136"/>
      </rPr>
      <t>自選清單</t>
    </r>
    <phoneticPr fontId="29" type="noConversion"/>
  </si>
  <si>
    <t>項目</t>
  </si>
  <si>
    <t>收盤價</t>
  </si>
  <si>
    <t>3日均價</t>
  </si>
  <si>
    <t>5日均價</t>
  </si>
  <si>
    <t>10日均價</t>
  </si>
  <si>
    <t>20日均價</t>
  </si>
  <si>
    <t>60日均價</t>
  </si>
  <si>
    <t>120日均價</t>
  </si>
  <si>
    <t>240日均價</t>
  </si>
  <si>
    <t>今日</t>
  </si>
  <si>
    <t>前市</t>
  </si>
  <si>
    <t>全數清單</t>
    <phoneticPr fontId="2" type="noConversion"/>
  </si>
  <si>
    <t>圖例&amp;說明</t>
    <phoneticPr fontId="2" type="noConversion"/>
  </si>
  <si>
    <t>營收 與 毛利率</t>
    <phoneticPr fontId="2" type="noConversion"/>
  </si>
  <si>
    <t>應收轉轉天數</t>
    <phoneticPr fontId="2" type="noConversion"/>
  </si>
  <si>
    <t>折舊率</t>
    <phoneticPr fontId="2" type="noConversion"/>
  </si>
  <si>
    <t>存貨轉轉天數</t>
    <phoneticPr fontId="2" type="noConversion"/>
  </si>
  <si>
    <t>每股盈餘</t>
    <phoneticPr fontId="2" type="noConversion"/>
  </si>
  <si>
    <t>營業活動現金  與  負債比</t>
    <phoneticPr fontId="2" type="noConversion"/>
  </si>
  <si>
    <t>代碼</t>
  </si>
  <si>
    <t>極端值</t>
  </si>
  <si>
    <t>每股盈餘 (元)</t>
    <phoneticPr fontId="2" type="noConversion"/>
  </si>
  <si>
    <t>來自營運之現金流量</t>
    <phoneticPr fontId="2" type="noConversion"/>
  </si>
  <si>
    <t>來自營運之現金流量</t>
    <phoneticPr fontId="2" type="noConversion"/>
  </si>
  <si>
    <t>營業費用</t>
    <phoneticPr fontId="2" type="noConversion"/>
  </si>
  <si>
    <t xml:space="preserve"> 應收週轉天數</t>
  </si>
  <si>
    <t xml:space="preserve"> 存貨 週轉天數</t>
  </si>
  <si>
    <t xml:space="preserve"> 負債比 </t>
  </si>
  <si>
    <t>蘭指標_A</t>
    <phoneticPr fontId="2" type="noConversion"/>
  </si>
  <si>
    <t>折舊率</t>
    <phoneticPr fontId="2" type="noConversion"/>
  </si>
  <si>
    <t>營業費用率</t>
    <phoneticPr fontId="2" type="noConversion"/>
  </si>
  <si>
    <t>其它電子</t>
  </si>
  <si>
    <t>營建</t>
  </si>
  <si>
    <t>航運</t>
  </si>
  <si>
    <t>觀光</t>
  </si>
  <si>
    <t>金融</t>
  </si>
  <si>
    <t>貿易百貨</t>
  </si>
  <si>
    <t>油電燃氣</t>
  </si>
  <si>
    <t>其他</t>
  </si>
  <si>
    <t>綜合</t>
  </si>
  <si>
    <t>憑證</t>
  </si>
  <si>
    <t>市認購</t>
  </si>
  <si>
    <t>市認售</t>
  </si>
  <si>
    <t>指數類</t>
  </si>
  <si>
    <r>
      <t>櫃檯走勢</t>
    </r>
    <r>
      <rPr>
        <sz val="10.8"/>
        <color theme="1"/>
        <rFont val="新細明體"/>
        <family val="1"/>
        <charset val="136"/>
        <scheme val="minor"/>
      </rPr>
      <t xml:space="preserve">   </t>
    </r>
    <r>
      <rPr>
        <sz val="12.95"/>
        <color rgb="FF0000FF"/>
        <rFont val="新細明體"/>
        <family val="1"/>
        <charset val="136"/>
        <scheme val="minor"/>
      </rPr>
      <t>Top</t>
    </r>
    <r>
      <rPr>
        <sz val="10.8"/>
        <color theme="1"/>
        <rFont val="新細明體"/>
        <family val="1"/>
        <charset val="136"/>
        <scheme val="minor"/>
      </rPr>
      <t xml:space="preserve"> </t>
    </r>
  </si>
  <si>
    <t>食品</t>
  </si>
  <si>
    <t>塑膠</t>
  </si>
  <si>
    <t>紡織</t>
  </si>
  <si>
    <t>電機</t>
  </si>
  <si>
    <t>電器</t>
  </si>
  <si>
    <t>化工</t>
  </si>
  <si>
    <t>生技</t>
  </si>
  <si>
    <t>油電</t>
  </si>
  <si>
    <t>鋼鐵</t>
  </si>
  <si>
    <t>橡膠</t>
  </si>
  <si>
    <t>半導</t>
  </si>
  <si>
    <t>電腦</t>
  </si>
  <si>
    <t>光電</t>
  </si>
  <si>
    <t>通信</t>
  </si>
  <si>
    <t>電零</t>
  </si>
  <si>
    <t>通路</t>
  </si>
  <si>
    <t>資服</t>
  </si>
  <si>
    <t>他電</t>
  </si>
  <si>
    <t>貿易</t>
  </si>
  <si>
    <t>管理</t>
  </si>
  <si>
    <t>公司</t>
  </si>
  <si>
    <t>認購</t>
  </si>
  <si>
    <t>認售</t>
  </si>
  <si>
    <t>電子產業行情</t>
  </si>
  <si>
    <t>DRAM</t>
  </si>
  <si>
    <t>DRAM模組</t>
  </si>
  <si>
    <t>IC設計</t>
  </si>
  <si>
    <t>IC生產</t>
  </si>
  <si>
    <t>IC封測</t>
  </si>
  <si>
    <t>TFT-LCD</t>
  </si>
  <si>
    <t>Flash模組</t>
  </si>
  <si>
    <t>主機板</t>
  </si>
  <si>
    <t>光碟片</t>
  </si>
  <si>
    <t>光碟機</t>
  </si>
  <si>
    <t>光通訊</t>
  </si>
  <si>
    <t>伺服器</t>
  </si>
  <si>
    <t>軟體業</t>
  </si>
  <si>
    <t>掃描器</t>
  </si>
  <si>
    <t>導線架</t>
  </si>
  <si>
    <t>OA產品</t>
  </si>
  <si>
    <t>印表機</t>
  </si>
  <si>
    <t>連接器</t>
  </si>
  <si>
    <t>機殼業</t>
  </si>
  <si>
    <t>消費性電子</t>
  </si>
  <si>
    <t>模具沖壓</t>
  </si>
  <si>
    <t>電信設備</t>
  </si>
  <si>
    <t>電腦系統</t>
  </si>
  <si>
    <t>電腦週邊</t>
  </si>
  <si>
    <t>筆記型電腦</t>
  </si>
  <si>
    <t>顯示(監視)器</t>
  </si>
  <si>
    <t>網路設備</t>
  </si>
  <si>
    <t>資訊通路</t>
  </si>
  <si>
    <t>資訊服務</t>
  </si>
  <si>
    <t>印刷電路板</t>
  </si>
  <si>
    <t>網際網路相關</t>
  </si>
  <si>
    <t>行動電話</t>
  </si>
  <si>
    <t>數位相機</t>
  </si>
  <si>
    <t>被動元件</t>
  </si>
  <si>
    <t>電源供應器(SPS)</t>
  </si>
  <si>
    <t>掌上電子產品</t>
  </si>
  <si>
    <t>晶圓代工</t>
  </si>
  <si>
    <t>電信/數據服務</t>
  </si>
  <si>
    <t>無線網路</t>
  </si>
  <si>
    <t>發光二極體(LED)</t>
  </si>
  <si>
    <t>概念股行情</t>
  </si>
  <si>
    <t>台商收成</t>
  </si>
  <si>
    <t>國企私有</t>
  </si>
  <si>
    <t>iTV</t>
  </si>
  <si>
    <t>高殖利率</t>
  </si>
  <si>
    <t>海量資料</t>
  </si>
  <si>
    <t>歐元貶值</t>
  </si>
  <si>
    <t>運動服飾</t>
  </si>
  <si>
    <t>觀光飯店購物中心</t>
  </si>
  <si>
    <t>再生循環</t>
  </si>
  <si>
    <t>Apple iTV</t>
  </si>
  <si>
    <t>泰銖升值</t>
  </si>
  <si>
    <t>商用不動產概念</t>
  </si>
  <si>
    <t>碳纖維</t>
  </si>
  <si>
    <t>無人駕駛</t>
  </si>
  <si>
    <t>傳產百元俱樂部</t>
  </si>
  <si>
    <t>MSCI</t>
  </si>
  <si>
    <t>油電車</t>
  </si>
  <si>
    <t>QE3</t>
  </si>
  <si>
    <t>穿戴裝置</t>
  </si>
  <si>
    <t>核能發電</t>
  </si>
  <si>
    <t>鋼鐵扣件</t>
  </si>
  <si>
    <t>金融MOU</t>
  </si>
  <si>
    <t>豪宅概念</t>
  </si>
  <si>
    <t>就業88</t>
  </si>
  <si>
    <t>精品</t>
  </si>
  <si>
    <t>亞洲泛用樹脂漲價</t>
  </si>
  <si>
    <t>薪酬指數</t>
  </si>
  <si>
    <t>LED光源</t>
  </si>
  <si>
    <t>設備通路</t>
  </si>
  <si>
    <t>運動鞋</t>
  </si>
  <si>
    <t>藥品通路</t>
  </si>
  <si>
    <t>新兆生技</t>
  </si>
  <si>
    <t>就業99</t>
  </si>
  <si>
    <t>4K2K TV</t>
  </si>
  <si>
    <t>Kinect</t>
  </si>
  <si>
    <t>工具機廠</t>
  </si>
  <si>
    <t>赴美掛牌</t>
  </si>
  <si>
    <t>桃園航空城</t>
  </si>
  <si>
    <t>高薪100</t>
  </si>
  <si>
    <t>電信零售通路</t>
  </si>
  <si>
    <t>AppleWatch</t>
  </si>
  <si>
    <t>iPhone 6</t>
  </si>
  <si>
    <t>中概通路</t>
  </si>
  <si>
    <t>一帶一路</t>
  </si>
  <si>
    <t>低價智慧手機</t>
  </si>
  <si>
    <t>電動車</t>
  </si>
  <si>
    <t>雲端概念</t>
  </si>
  <si>
    <t>健康食品</t>
  </si>
  <si>
    <t>新兆能源</t>
  </si>
  <si>
    <t>中資地產</t>
  </si>
  <si>
    <t>網購相關</t>
  </si>
  <si>
    <t>商用不動產</t>
  </si>
  <si>
    <t>內需收成</t>
  </si>
  <si>
    <t>石墨烯</t>
  </si>
  <si>
    <t>智慧城市</t>
  </si>
  <si>
    <t>港股通</t>
  </si>
  <si>
    <t>高殖利獲利</t>
  </si>
  <si>
    <t>中國高鐵</t>
  </si>
  <si>
    <t>無線充電</t>
  </si>
  <si>
    <t>PS4</t>
  </si>
  <si>
    <t>小米手機</t>
  </si>
  <si>
    <t>台灣100</t>
  </si>
  <si>
    <t>車載記憶</t>
  </si>
  <si>
    <t>中概醫療</t>
  </si>
  <si>
    <t>iPad mini</t>
  </si>
  <si>
    <t>NIKE</t>
  </si>
  <si>
    <t>兩岸三地500指</t>
  </si>
  <si>
    <t>鏡頭</t>
  </si>
  <si>
    <t>台幣升值</t>
  </si>
  <si>
    <t>蘋果供應</t>
  </si>
  <si>
    <t>觸控</t>
  </si>
  <si>
    <t>關鍵零組</t>
  </si>
  <si>
    <t>嬰幼兒</t>
  </si>
  <si>
    <t>QDII</t>
  </si>
  <si>
    <t>WiMax</t>
  </si>
  <si>
    <t>Google TV</t>
  </si>
  <si>
    <t>外銷收成</t>
  </si>
  <si>
    <t>電動車Tesla</t>
  </si>
  <si>
    <t>中資保險</t>
  </si>
  <si>
    <t>觸控面板</t>
  </si>
  <si>
    <t>微軟Surface</t>
  </si>
  <si>
    <t>聲控</t>
  </si>
  <si>
    <t>日元貶值</t>
  </si>
  <si>
    <t>美國ADR</t>
  </si>
  <si>
    <t>台灣50</t>
  </si>
  <si>
    <t>4G LTE</t>
  </si>
  <si>
    <t>三星</t>
  </si>
  <si>
    <t>新股掛牌</t>
  </si>
  <si>
    <t>3C通路物流</t>
  </si>
  <si>
    <t>生質能源</t>
  </si>
  <si>
    <t>防疫藥品</t>
  </si>
  <si>
    <t>3D TV</t>
  </si>
  <si>
    <t>滬港通AH</t>
  </si>
  <si>
    <t>Smart TV</t>
  </si>
  <si>
    <t>iPad Air</t>
  </si>
  <si>
    <t>都更</t>
  </si>
  <si>
    <t>剔除成份</t>
  </si>
  <si>
    <t>太陽節能</t>
  </si>
  <si>
    <t>新增成份</t>
  </si>
  <si>
    <t>黃金概念</t>
  </si>
  <si>
    <t>人民幣升</t>
  </si>
  <si>
    <t>第三方支付</t>
  </si>
  <si>
    <t>其它組件</t>
  </si>
  <si>
    <t>生技農業</t>
  </si>
  <si>
    <t>蘋果</t>
  </si>
  <si>
    <t>高成長</t>
  </si>
  <si>
    <t>中國資產</t>
  </si>
  <si>
    <t>富櫃50</t>
  </si>
  <si>
    <t>Google眼鏡</t>
  </si>
  <si>
    <t>生技服務</t>
  </si>
  <si>
    <t>桃園機場捷運</t>
  </si>
  <si>
    <t>SDN</t>
  </si>
  <si>
    <t>藥品生產</t>
  </si>
  <si>
    <t>腳踏車</t>
  </si>
  <si>
    <t>香港掛牌</t>
  </si>
  <si>
    <t>航運股</t>
  </si>
  <si>
    <t>高股息</t>
  </si>
  <si>
    <t>都更概念</t>
  </si>
  <si>
    <t>醫療檢測設備</t>
  </si>
  <si>
    <t>滬股通</t>
  </si>
  <si>
    <t>泛自動化</t>
  </si>
  <si>
    <t>宏達電</t>
  </si>
  <si>
    <t>資產概念</t>
  </si>
  <si>
    <t>車聯網</t>
  </si>
  <si>
    <t>越南設廠</t>
  </si>
  <si>
    <t>設備組件</t>
  </si>
  <si>
    <t>滬深B股</t>
  </si>
  <si>
    <t>3D列印</t>
  </si>
  <si>
    <t>3D技術</t>
  </si>
  <si>
    <t>Windows8</t>
  </si>
  <si>
    <t>資產題材股</t>
  </si>
  <si>
    <t>集團股行情</t>
  </si>
  <si>
    <t>華立</t>
  </si>
  <si>
    <t>頂新國際</t>
  </si>
  <si>
    <t>華碩</t>
  </si>
  <si>
    <t>矽品</t>
  </si>
  <si>
    <t>三商行</t>
  </si>
  <si>
    <t>華新</t>
  </si>
  <si>
    <t>潤泰</t>
  </si>
  <si>
    <t>新光</t>
  </si>
  <si>
    <t>裕隆</t>
  </si>
  <si>
    <t>永豐餘</t>
  </si>
  <si>
    <t>緯創資通</t>
  </si>
  <si>
    <t>志超</t>
  </si>
  <si>
    <t>威盛</t>
  </si>
  <si>
    <t>群光藍天</t>
  </si>
  <si>
    <t>中強光電</t>
  </si>
  <si>
    <t>仰德</t>
  </si>
  <si>
    <t>正崴</t>
  </si>
  <si>
    <t>禾伸堂</t>
  </si>
  <si>
    <t>和碩</t>
  </si>
  <si>
    <t>長榮</t>
  </si>
  <si>
    <t>金仁寶</t>
  </si>
  <si>
    <t>正隆</t>
  </si>
  <si>
    <t>旺旺</t>
  </si>
  <si>
    <t>日月光</t>
  </si>
  <si>
    <t>立益紡織</t>
  </si>
  <si>
    <t>中鼎工程</t>
  </si>
  <si>
    <t>統一</t>
  </si>
  <si>
    <t>中環</t>
  </si>
  <si>
    <t>遠雄</t>
  </si>
  <si>
    <t>力麗</t>
  </si>
  <si>
    <t>億光</t>
  </si>
  <si>
    <t>大聯大</t>
  </si>
  <si>
    <t>燁聯鋼鐵</t>
  </si>
  <si>
    <t>大億</t>
  </si>
  <si>
    <t>能率</t>
  </si>
  <si>
    <t>力晶</t>
  </si>
  <si>
    <t>東元電機</t>
  </si>
  <si>
    <t>凌陽</t>
  </si>
  <si>
    <t>和桐</t>
  </si>
  <si>
    <t>南訊</t>
  </si>
  <si>
    <t>國巨</t>
  </si>
  <si>
    <t>東洋</t>
  </si>
  <si>
    <t>大同</t>
  </si>
  <si>
    <t>英業達</t>
  </si>
  <si>
    <t>大眾</t>
  </si>
  <si>
    <t>聲寶</t>
  </si>
  <si>
    <t>聯電</t>
  </si>
  <si>
    <t>寶成</t>
  </si>
  <si>
    <t>威京</t>
  </si>
  <si>
    <t>中纖</t>
  </si>
  <si>
    <t>台南幫</t>
  </si>
  <si>
    <t>炎洲</t>
  </si>
  <si>
    <t>友達</t>
  </si>
  <si>
    <t>台塑</t>
  </si>
  <si>
    <t>鴻海</t>
  </si>
  <si>
    <t>研華</t>
  </si>
  <si>
    <t>士林紙業</t>
  </si>
  <si>
    <t>台聚</t>
  </si>
  <si>
    <t>錸德</t>
  </si>
  <si>
    <t>光寶</t>
  </si>
  <si>
    <t>嵩益</t>
  </si>
  <si>
    <t>廣達</t>
  </si>
  <si>
    <t>元大</t>
  </si>
  <si>
    <t>中鋼</t>
  </si>
  <si>
    <t>茂矽</t>
  </si>
  <si>
    <t>友訊</t>
  </si>
  <si>
    <t>華宇</t>
  </si>
  <si>
    <t>國產</t>
  </si>
  <si>
    <t>聯華神通</t>
  </si>
  <si>
    <t>遠東</t>
  </si>
  <si>
    <t>台積電</t>
  </si>
  <si>
    <t>富邦</t>
  </si>
  <si>
    <t>中信</t>
  </si>
  <si>
    <t>龍邦</t>
  </si>
  <si>
    <t>台泥</t>
  </si>
  <si>
    <t>霖園</t>
  </si>
  <si>
    <t>燦坤企業</t>
  </si>
  <si>
    <t>凱碩</t>
  </si>
  <si>
    <t>外資</t>
    <phoneticPr fontId="2" type="noConversion"/>
  </si>
  <si>
    <t>投信</t>
    <phoneticPr fontId="2" type="noConversion"/>
  </si>
  <si>
    <t>營業收入淨額</t>
    <phoneticPr fontId="2" type="noConversion"/>
  </si>
  <si>
    <t xml:space="preserve"> 應收帳款及票據</t>
    <phoneticPr fontId="2" type="noConversion"/>
  </si>
  <si>
    <t>營業利益</t>
    <phoneticPr fontId="2" type="noConversion"/>
  </si>
  <si>
    <t>判斷輔助</t>
    <phoneticPr fontId="2" type="noConversion"/>
  </si>
  <si>
    <t>折舊模擬</t>
    <phoneticPr fontId="2" type="noConversion"/>
  </si>
  <si>
    <r>
      <t>櫃檯買賣市場行情</t>
    </r>
    <r>
      <rPr>
        <sz val="12.95"/>
        <color rgb="FF0000FF"/>
        <rFont val="新細明體"/>
        <family val="1"/>
        <charset val="136"/>
        <scheme val="minor"/>
      </rPr>
      <t xml:space="preserve"> </t>
    </r>
  </si>
  <si>
    <r>
      <t>Top</t>
    </r>
    <r>
      <rPr>
        <sz val="10.8"/>
        <color theme="1"/>
        <rFont val="新細明體"/>
        <family val="1"/>
        <charset val="136"/>
        <scheme val="minor"/>
      </rPr>
      <t xml:space="preserve"> </t>
    </r>
  </si>
  <si>
    <t>－</t>
  </si>
  <si>
    <t>神達(3706)</t>
  </si>
  <si>
    <t>神達（3706）</t>
  </si>
  <si>
    <t>環天科(3499)</t>
  </si>
  <si>
    <t>環天科（3499）</t>
  </si>
  <si>
    <t>神達(3706)</t>
    <phoneticPr fontId="2" type="noConversion"/>
  </si>
  <si>
    <t>環天科(3499)</t>
    <phoneticPr fontId="2" type="noConversion"/>
  </si>
  <si>
    <t>鼎天(3306)</t>
  </si>
  <si>
    <t>鼎天（3306）</t>
  </si>
  <si>
    <t>3706神達</t>
  </si>
  <si>
    <t xml:space="preserve">△0.05 </t>
  </si>
  <si>
    <t>3499環天科</t>
  </si>
  <si>
    <t xml:space="preserve">△0.35 </t>
  </si>
  <si>
    <t>3306鼎天</t>
  </si>
  <si>
    <t xml:space="preserve">▲2.50 </t>
  </si>
  <si>
    <t>茂綸</t>
  </si>
  <si>
    <t>/3.07181403071814E-02</t>
  </si>
  <si>
    <t>最新
單季EPS</t>
    <phoneticPr fontId="29" type="noConversion"/>
  </si>
  <si>
    <t>友通</t>
  </si>
  <si>
    <t>中化</t>
  </si>
  <si>
    <t>PE = 8</t>
  </si>
  <si>
    <t>湯石</t>
  </si>
  <si>
    <t>週集保</t>
  </si>
  <si>
    <t>1325_2.27%</t>
  </si>
  <si>
    <t>1413_11.02%</t>
  </si>
  <si>
    <t>1445_1.71%</t>
  </si>
  <si>
    <t>1506_1.44%</t>
  </si>
  <si>
    <t>1565_1.22%</t>
  </si>
  <si>
    <t>2375_2.36%</t>
  </si>
  <si>
    <t>2383_2.46%</t>
  </si>
  <si>
    <t>2485_2.29%</t>
  </si>
  <si>
    <t>2515_1.69%</t>
  </si>
  <si>
    <t>3018_3.20%</t>
  </si>
  <si>
    <t>3094_1.22%</t>
  </si>
  <si>
    <t>3293_1.54%</t>
  </si>
  <si>
    <t>3303_1.44%</t>
  </si>
  <si>
    <t>3323_2.17%</t>
  </si>
  <si>
    <t>3533_2.42%</t>
  </si>
  <si>
    <t>3576_1.78%</t>
  </si>
  <si>
    <t>3584_1.66%</t>
  </si>
  <si>
    <t>3591_1.73%</t>
  </si>
  <si>
    <t>3663_1.90%</t>
  </si>
  <si>
    <t>3689_1.44%</t>
  </si>
  <si>
    <t>4105_2.35%</t>
  </si>
  <si>
    <t>4401_2.66%</t>
  </si>
  <si>
    <t>4721_1.34%</t>
  </si>
  <si>
    <t>4947_2.51%</t>
  </si>
  <si>
    <t>5310_2.23%</t>
  </si>
  <si>
    <t>5356_1.47%</t>
  </si>
  <si>
    <t>6123_2.73%</t>
  </si>
  <si>
    <t>6150_1.80%</t>
  </si>
  <si>
    <t>6151_1.87%</t>
  </si>
  <si>
    <t>6180_2.53%</t>
  </si>
  <si>
    <t>6244_3.16%</t>
  </si>
  <si>
    <t>6266_1.96%</t>
  </si>
  <si>
    <t>6270_1.67%</t>
  </si>
  <si>
    <t>6274_1.78%</t>
  </si>
  <si>
    <t>6506_1.49%</t>
  </si>
  <si>
    <t>8038_1.84%</t>
  </si>
  <si>
    <t>8039_1.56%</t>
  </si>
  <si>
    <t>8054_1.39%</t>
  </si>
  <si>
    <t>8071_1.23%</t>
  </si>
  <si>
    <t>9942_1.49%</t>
  </si>
  <si>
    <t>4119_9.11%</t>
    <phoneticPr fontId="2" type="noConversion"/>
  </si>
  <si>
    <t>104.2Q</t>
  </si>
  <si>
    <t>實威(8416)</t>
  </si>
  <si>
    <t>實威（8416）</t>
  </si>
  <si>
    <t>8416實威</t>
  </si>
  <si>
    <t xml:space="preserve">實威(8416)    市價：107  元    PE = </t>
    <phoneticPr fontId="2" type="noConversion"/>
  </si>
  <si>
    <t>已讀清單</t>
    <phoneticPr fontId="29" type="noConversion"/>
  </si>
  <si>
    <t>待讀清單</t>
    <phoneticPr fontId="2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</si>
</sst>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_(* #,##0.00_);_(* \(#,##0.00\);_(* &quot;-&quot;??_);_(@_)"/>
    <numFmt numFmtId="177" formatCode="_-* #,##0_-;\-* #,##0_-;_-* &quot;-&quot;??_-;_-@_-"/>
    <numFmt numFmtId="178" formatCode="0_);[Red]\(0\)"/>
    <numFmt numFmtId="179" formatCode="0_ "/>
    <numFmt numFmtId="180" formatCode="#,##0_);[Red]\(#,##0\)"/>
    <numFmt numFmtId="181" formatCode="0.00_ "/>
  </numFmts>
  <fonts count="46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b/>
      <sz val="14"/>
      <color theme="1"/>
      <name val="新細明體"/>
      <family val="1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2"/>
      <color indexed="81"/>
      <name val="細明體"/>
      <family val="3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indexed="81"/>
      <name val="細明體"/>
      <family val="3"/>
      <charset val="136"/>
    </font>
    <font>
      <b/>
      <sz val="16"/>
      <color theme="1"/>
      <name val="新細明體"/>
      <family val="1"/>
      <charset val="136"/>
      <scheme val="minor"/>
    </font>
    <font>
      <sz val="12"/>
      <color indexed="81"/>
      <name val="Tahoma"/>
      <family val="2"/>
    </font>
    <font>
      <sz val="12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00FF"/>
      <name val="繚s簡?穢繳?矇"/>
      <family val="3"/>
      <charset val="136"/>
    </font>
    <font>
      <sz val="10"/>
      <color rgb="FFFF0000"/>
      <name val="繚s簡?穢繳?矇"/>
      <family val="3"/>
      <charset val="136"/>
    </font>
    <font>
      <b/>
      <sz val="12"/>
      <color rgb="FF990066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b/>
      <sz val="14"/>
      <color indexed="81"/>
      <name val="細明體"/>
      <family val="3"/>
      <charset val="136"/>
    </font>
    <font>
      <b/>
      <sz val="12"/>
      <color indexed="81"/>
      <name val="Tahoma"/>
      <family val="2"/>
    </font>
    <font>
      <sz val="14"/>
      <color theme="1"/>
      <name val="新細明體"/>
      <family val="1"/>
      <charset val="136"/>
      <scheme val="minor"/>
    </font>
    <font>
      <sz val="10.8"/>
      <color theme="1"/>
      <name val="新細明體"/>
      <family val="1"/>
      <charset val="136"/>
      <scheme val="minor"/>
    </font>
    <font>
      <b/>
      <sz val="12.95"/>
      <color rgb="FFCC3366"/>
      <name val="新細明體"/>
      <family val="1"/>
      <charset val="136"/>
      <scheme val="minor"/>
    </font>
    <font>
      <sz val="12.95"/>
      <color rgb="FF0000FF"/>
      <name val="新細明體"/>
      <family val="1"/>
      <charset val="136"/>
      <scheme val="minor"/>
    </font>
    <font>
      <sz val="12"/>
      <color rgb="FF009900"/>
      <name val="新細明體"/>
      <family val="1"/>
      <charset val="136"/>
      <scheme val="minor"/>
    </font>
    <font>
      <sz val="10"/>
      <color rgb="FF000000"/>
      <name val="繚s簡?穢繳?矇"/>
      <family val="3"/>
      <charset val="136"/>
    </font>
    <font>
      <sz val="12"/>
      <color rgb="FF990066"/>
      <name val="新細明體"/>
      <family val="1"/>
      <charset val="136"/>
      <scheme val="minor"/>
    </font>
    <font>
      <sz val="10"/>
      <color rgb="FF0000FF"/>
      <name val="Arial"/>
      <family val="2"/>
    </font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rgb="FFFF0000"/>
      <name val="新細明體"/>
      <family val="2"/>
      <scheme val="minor"/>
    </font>
    <font>
      <u/>
      <sz val="12"/>
      <color theme="10"/>
      <name val="新細明體"/>
      <family val="2"/>
      <scheme val="minor"/>
    </font>
    <font>
      <b/>
      <sz val="10"/>
      <color theme="1"/>
      <name val="Arial"/>
      <family val="2"/>
    </font>
    <font>
      <b/>
      <sz val="10"/>
      <color theme="1"/>
      <name val="新細明體"/>
      <family val="1"/>
      <charset val="136"/>
    </font>
    <font>
      <sz val="10"/>
      <color theme="1"/>
      <name val="Arial"/>
      <family val="2"/>
    </font>
    <font>
      <sz val="10"/>
      <color theme="1"/>
      <name val="細明體"/>
      <family val="3"/>
      <charset val="136"/>
    </font>
    <font>
      <b/>
      <sz val="12"/>
      <color theme="1"/>
      <name val="新細明體"/>
      <family val="2"/>
      <charset val="136"/>
      <scheme val="minor"/>
    </font>
    <font>
      <b/>
      <sz val="13"/>
      <color theme="1"/>
      <name val="新細明體"/>
      <family val="1"/>
      <charset val="136"/>
      <scheme val="minor"/>
    </font>
    <font>
      <b/>
      <sz val="13"/>
      <name val="新細明體"/>
      <family val="1"/>
      <charset val="136"/>
      <scheme val="minor"/>
    </font>
    <font>
      <b/>
      <sz val="13"/>
      <color rgb="FF0033CC"/>
      <name val="新細明體"/>
      <family val="1"/>
      <charset val="136"/>
      <scheme val="minor"/>
    </font>
    <font>
      <b/>
      <sz val="13"/>
      <color rgb="FFFF0000"/>
      <name val="新細明體"/>
      <family val="1"/>
      <charset val="136"/>
      <scheme val="minor"/>
    </font>
    <font>
      <b/>
      <sz val="13"/>
      <color rgb="FFFF9900"/>
      <name val="新細明體"/>
      <family val="1"/>
      <charset val="136"/>
      <scheme val="minor"/>
    </font>
    <font>
      <b/>
      <sz val="14"/>
      <color theme="0"/>
      <name val="新細明體"/>
      <family val="1"/>
      <charset val="136"/>
      <scheme val="minor"/>
    </font>
    <font>
      <b/>
      <sz val="10"/>
      <color theme="1"/>
      <name val="細明體"/>
      <family val="3"/>
      <charset val="136"/>
    </font>
    <font>
      <sz val="12"/>
      <color rgb="FF000000"/>
      <name val="新細明體"/>
      <family val="1"/>
      <charset val="136"/>
      <scheme val="minor"/>
    </font>
    <font>
      <b/>
      <sz val="12"/>
      <color theme="1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0C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DEDEF"/>
        <bgColor indexed="64"/>
      </patternFill>
    </fill>
    <fill>
      <patternFill patternType="solid">
        <fgColor rgb="FFFFEDA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FF99"/>
        <bgColor indexed="64"/>
      </patternFill>
    </fill>
  </fills>
  <borders count="6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rgb="FF00000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6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28" fillId="0" borderId="0"/>
    <xf numFmtId="0" fontId="31" fillId="0" borderId="0" applyNumberFormat="0" applyFill="0" applyBorder="0" applyAlignment="0" applyProtection="0"/>
  </cellStyleXfs>
  <cellXfs count="281">
    <xf numFmtId="0" fontId="0" fillId="0" borderId="0" xfId="0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0" xfId="0" applyFill="1">
      <alignment vertical="center"/>
    </xf>
    <xf numFmtId="0" fontId="0" fillId="3" borderId="1" xfId="0" applyFill="1" applyBorder="1">
      <alignment vertical="center"/>
    </xf>
    <xf numFmtId="0" fontId="0" fillId="3" borderId="2" xfId="0" applyFill="1" applyBorder="1">
      <alignment vertical="center"/>
    </xf>
    <xf numFmtId="0" fontId="0" fillId="3" borderId="3" xfId="0" applyFill="1" applyBorder="1">
      <alignment vertical="center"/>
    </xf>
    <xf numFmtId="0" fontId="0" fillId="3" borderId="15" xfId="0" applyFill="1" applyBorder="1">
      <alignment vertical="center"/>
    </xf>
    <xf numFmtId="0" fontId="0" fillId="4" borderId="0" xfId="0" applyFill="1" applyBorder="1">
      <alignment vertical="center"/>
    </xf>
    <xf numFmtId="0" fontId="0" fillId="3" borderId="0" xfId="0" applyFill="1" applyBorder="1">
      <alignment vertical="center"/>
    </xf>
    <xf numFmtId="0" fontId="0" fillId="3" borderId="16" xfId="0" applyFill="1" applyBorder="1">
      <alignment vertical="center"/>
    </xf>
    <xf numFmtId="0" fontId="0" fillId="2" borderId="15" xfId="0" applyFill="1" applyBorder="1">
      <alignment vertical="center"/>
    </xf>
    <xf numFmtId="0" fontId="0" fillId="2" borderId="0" xfId="0" applyFill="1" applyBorder="1">
      <alignment vertical="center"/>
    </xf>
    <xf numFmtId="0" fontId="0" fillId="2" borderId="16" xfId="0" applyFill="1" applyBorder="1">
      <alignment vertical="center"/>
    </xf>
    <xf numFmtId="177" fontId="0" fillId="2" borderId="15" xfId="1" applyNumberFormat="1" applyFont="1" applyFill="1" applyBorder="1" applyAlignment="1">
      <alignment horizontal="center" vertical="center"/>
    </xf>
    <xf numFmtId="177" fontId="0" fillId="2" borderId="0" xfId="1" applyNumberFormat="1" applyFont="1" applyFill="1" applyBorder="1" applyAlignment="1">
      <alignment horizontal="center" vertical="center"/>
    </xf>
    <xf numFmtId="179" fontId="0" fillId="2" borderId="0" xfId="2" applyNumberFormat="1" applyFont="1" applyFill="1" applyBorder="1" applyAlignment="1">
      <alignment vertical="center"/>
    </xf>
    <xf numFmtId="0" fontId="0" fillId="3" borderId="33" xfId="0" applyFill="1" applyBorder="1">
      <alignment vertical="center"/>
    </xf>
    <xf numFmtId="0" fontId="0" fillId="3" borderId="34" xfId="0" applyFill="1" applyBorder="1">
      <alignment vertical="center"/>
    </xf>
    <xf numFmtId="0" fontId="0" fillId="3" borderId="35" xfId="0" applyFill="1" applyBorder="1">
      <alignment vertical="center"/>
    </xf>
    <xf numFmtId="0" fontId="0" fillId="0" borderId="2" xfId="0" applyFill="1" applyBorder="1">
      <alignment vertical="center"/>
    </xf>
    <xf numFmtId="3" fontId="0" fillId="2" borderId="0" xfId="0" applyNumberFormat="1" applyFill="1">
      <alignment vertical="center"/>
    </xf>
    <xf numFmtId="0" fontId="14" fillId="0" borderId="46" xfId="0" applyFont="1" applyBorder="1" applyAlignment="1">
      <alignment horizontal="center" vertical="center" wrapText="1"/>
    </xf>
    <xf numFmtId="0" fontId="12" fillId="0" borderId="44" xfId="3" applyFont="1" applyBorder="1" applyAlignment="1">
      <alignment horizontal="center" vertical="center" wrapText="1"/>
    </xf>
    <xf numFmtId="0" fontId="13" fillId="0" borderId="46" xfId="3" applyFont="1" applyBorder="1" applyAlignment="1">
      <alignment horizontal="center" vertical="center" wrapText="1"/>
    </xf>
    <xf numFmtId="0" fontId="12" fillId="0" borderId="45" xfId="3" applyFont="1" applyBorder="1" applyAlignment="1">
      <alignment horizontal="center" vertical="center" wrapText="1"/>
    </xf>
    <xf numFmtId="0" fontId="14" fillId="0" borderId="44" xfId="3" applyFont="1" applyBorder="1" applyAlignment="1">
      <alignment horizontal="center" vertical="center" wrapText="1"/>
    </xf>
    <xf numFmtId="0" fontId="15" fillId="0" borderId="45" xfId="3" applyFont="1" applyBorder="1" applyAlignment="1">
      <alignment horizontal="center" vertical="center" wrapText="1"/>
    </xf>
    <xf numFmtId="9" fontId="4" fillId="7" borderId="37" xfId="0" applyNumberFormat="1" applyFont="1" applyFill="1" applyBorder="1" applyAlignment="1">
      <alignment horizontal="center" vertical="center"/>
    </xf>
    <xf numFmtId="0" fontId="4" fillId="6" borderId="38" xfId="0" applyFont="1" applyFill="1" applyBorder="1" applyAlignment="1">
      <alignment horizontal="center" vertical="center"/>
    </xf>
    <xf numFmtId="179" fontId="4" fillId="7" borderId="30" xfId="0" applyNumberFormat="1" applyFont="1" applyFill="1" applyBorder="1" applyAlignment="1">
      <alignment horizontal="center" vertical="center"/>
    </xf>
    <xf numFmtId="179" fontId="4" fillId="7" borderId="31" xfId="0" applyNumberFormat="1" applyFont="1" applyFill="1" applyBorder="1" applyAlignment="1">
      <alignment horizontal="center" vertical="center"/>
    </xf>
    <xf numFmtId="179" fontId="4" fillId="7" borderId="39" xfId="0" applyNumberFormat="1" applyFont="1" applyFill="1" applyBorder="1" applyAlignment="1">
      <alignment horizontal="center" vertical="center"/>
    </xf>
    <xf numFmtId="179" fontId="4" fillId="8" borderId="30" xfId="0" applyNumberFormat="1" applyFont="1" applyFill="1" applyBorder="1" applyAlignment="1">
      <alignment horizontal="center" vertical="center"/>
    </xf>
    <xf numFmtId="179" fontId="4" fillId="8" borderId="39" xfId="0" applyNumberFormat="1" applyFont="1" applyFill="1" applyBorder="1" applyAlignment="1">
      <alignment horizontal="center" vertical="center"/>
    </xf>
    <xf numFmtId="179" fontId="4" fillId="6" borderId="30" xfId="0" applyNumberFormat="1" applyFont="1" applyFill="1" applyBorder="1" applyAlignment="1">
      <alignment horizontal="center" vertical="center"/>
    </xf>
    <xf numFmtId="179" fontId="4" fillId="6" borderId="39" xfId="0" applyNumberFormat="1" applyFont="1" applyFill="1" applyBorder="1" applyAlignment="1">
      <alignment horizontal="center" vertical="center"/>
    </xf>
    <xf numFmtId="179" fontId="4" fillId="6" borderId="41" xfId="0" applyNumberFormat="1" applyFont="1" applyFill="1" applyBorder="1" applyAlignment="1">
      <alignment horizontal="center" vertical="center"/>
    </xf>
    <xf numFmtId="179" fontId="4" fillId="7" borderId="42" xfId="0" applyNumberFormat="1" applyFont="1" applyFill="1" applyBorder="1" applyAlignment="1">
      <alignment horizontal="center" vertical="center"/>
    </xf>
    <xf numFmtId="0" fontId="4" fillId="9" borderId="30" xfId="0" applyFont="1" applyFill="1" applyBorder="1" applyAlignment="1">
      <alignment horizontal="center" vertical="center"/>
    </xf>
    <xf numFmtId="176" fontId="4" fillId="9" borderId="31" xfId="1" applyFont="1" applyFill="1" applyBorder="1" applyAlignment="1">
      <alignment horizontal="center" vertical="center"/>
    </xf>
    <xf numFmtId="176" fontId="4" fillId="10" borderId="39" xfId="1" applyFont="1" applyFill="1" applyBorder="1" applyAlignment="1">
      <alignment horizontal="center" vertical="center"/>
    </xf>
    <xf numFmtId="0" fontId="4" fillId="6" borderId="35" xfId="0" applyFont="1" applyFill="1" applyBorder="1" applyAlignment="1">
      <alignment horizontal="center" vertical="center"/>
    </xf>
    <xf numFmtId="0" fontId="20" fillId="0" borderId="0" xfId="0" applyFont="1">
      <alignment vertical="center"/>
    </xf>
    <xf numFmtId="176" fontId="20" fillId="0" borderId="0" xfId="1" applyFont="1">
      <alignment vertical="center"/>
    </xf>
    <xf numFmtId="0" fontId="20" fillId="0" borderId="0" xfId="0" applyFont="1" applyAlignment="1">
      <alignment horizontal="center" vertical="center"/>
    </xf>
    <xf numFmtId="178" fontId="4" fillId="6" borderId="30" xfId="0" applyNumberFormat="1" applyFont="1" applyFill="1" applyBorder="1" applyAlignment="1">
      <alignment horizontal="center" vertical="center"/>
    </xf>
    <xf numFmtId="0" fontId="4" fillId="6" borderId="39" xfId="0" applyFont="1" applyFill="1" applyBorder="1" applyAlignment="1">
      <alignment vertical="center"/>
    </xf>
    <xf numFmtId="0" fontId="4" fillId="0" borderId="0" xfId="0" applyFont="1">
      <alignment vertical="center"/>
    </xf>
    <xf numFmtId="176" fontId="4" fillId="9" borderId="32" xfId="1" applyFont="1" applyFill="1" applyBorder="1" applyAlignment="1">
      <alignment horizontal="center" vertical="center"/>
    </xf>
    <xf numFmtId="9" fontId="4" fillId="9" borderId="32" xfId="2" applyFont="1" applyFill="1" applyBorder="1" applyAlignment="1">
      <alignment horizontal="center" vertical="center"/>
    </xf>
    <xf numFmtId="9" fontId="20" fillId="0" borderId="0" xfId="2" applyFont="1">
      <alignment vertical="center"/>
    </xf>
    <xf numFmtId="0" fontId="20" fillId="0" borderId="23" xfId="0" applyFont="1" applyBorder="1">
      <alignment vertical="center"/>
    </xf>
    <xf numFmtId="176" fontId="20" fillId="0" borderId="23" xfId="1" applyFont="1" applyBorder="1">
      <alignment vertical="center"/>
    </xf>
    <xf numFmtId="9" fontId="20" fillId="0" borderId="23" xfId="2" applyFont="1" applyBorder="1">
      <alignment vertical="center"/>
    </xf>
    <xf numFmtId="0" fontId="10" fillId="5" borderId="2" xfId="0" applyFont="1" applyFill="1" applyBorder="1" applyAlignment="1">
      <alignment horizontal="left" vertical="center"/>
    </xf>
    <xf numFmtId="9" fontId="10" fillId="5" borderId="2" xfId="2" applyFont="1" applyFill="1" applyBorder="1" applyAlignment="1">
      <alignment horizontal="left" vertical="center"/>
    </xf>
    <xf numFmtId="176" fontId="10" fillId="5" borderId="2" xfId="1" applyFont="1" applyFill="1" applyBorder="1" applyAlignment="1">
      <alignment vertical="center"/>
    </xf>
    <xf numFmtId="0" fontId="10" fillId="5" borderId="50" xfId="0" applyFont="1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16" xfId="0" applyFill="1" applyBorder="1" applyAlignment="1">
      <alignment vertical="center"/>
    </xf>
    <xf numFmtId="0" fontId="0" fillId="2" borderId="34" xfId="0" applyFill="1" applyBorder="1" applyAlignment="1">
      <alignment vertical="center"/>
    </xf>
    <xf numFmtId="0" fontId="0" fillId="2" borderId="35" xfId="0" applyFill="1" applyBorder="1" applyAlignment="1">
      <alignment vertical="center"/>
    </xf>
    <xf numFmtId="0" fontId="0" fillId="2" borderId="1" xfId="0" applyFill="1" applyBorder="1">
      <alignment vertical="center"/>
    </xf>
    <xf numFmtId="178" fontId="0" fillId="2" borderId="15" xfId="2" applyNumberFormat="1" applyFont="1" applyFill="1" applyBorder="1" applyAlignment="1">
      <alignment vertical="center"/>
    </xf>
    <xf numFmtId="179" fontId="0" fillId="2" borderId="15" xfId="2" applyNumberFormat="1" applyFont="1" applyFill="1" applyBorder="1" applyAlignment="1">
      <alignment horizontal="center" vertical="center"/>
    </xf>
    <xf numFmtId="0" fontId="0" fillId="2" borderId="15" xfId="0" applyFill="1" applyBorder="1" applyAlignment="1">
      <alignment vertical="center"/>
    </xf>
    <xf numFmtId="0" fontId="0" fillId="2" borderId="33" xfId="0" applyFill="1" applyBorder="1" applyAlignment="1">
      <alignment vertical="center"/>
    </xf>
    <xf numFmtId="0" fontId="5" fillId="0" borderId="23" xfId="3" applyBorder="1" applyAlignment="1">
      <alignment horizontal="center" vertical="center"/>
    </xf>
    <xf numFmtId="0" fontId="5" fillId="0" borderId="0" xfId="3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14" borderId="0" xfId="0" applyFont="1" applyFill="1" applyAlignment="1">
      <alignment horizontal="left" vertical="center" wrapText="1"/>
    </xf>
    <xf numFmtId="0" fontId="23" fillId="14" borderId="0" xfId="0" applyFont="1" applyFill="1" applyAlignment="1">
      <alignment horizontal="right" vertical="center" wrapText="1"/>
    </xf>
    <xf numFmtId="0" fontId="5" fillId="14" borderId="0" xfId="3" applyFill="1" applyAlignment="1">
      <alignment horizontal="right" vertical="center" wrapText="1"/>
    </xf>
    <xf numFmtId="0" fontId="12" fillId="0" borderId="46" xfId="3" applyFont="1" applyBorder="1" applyAlignment="1">
      <alignment horizontal="center" vertical="center" wrapText="1"/>
    </xf>
    <xf numFmtId="0" fontId="16" fillId="13" borderId="43" xfId="3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20" fillId="0" borderId="23" xfId="0" applyFont="1" applyFill="1" applyBorder="1">
      <alignment vertical="center"/>
    </xf>
    <xf numFmtId="0" fontId="5" fillId="0" borderId="23" xfId="3" applyFill="1" applyBorder="1">
      <alignment vertical="center"/>
    </xf>
    <xf numFmtId="0" fontId="5" fillId="0" borderId="23" xfId="3" applyBorder="1">
      <alignment vertical="center"/>
    </xf>
    <xf numFmtId="0" fontId="20" fillId="0" borderId="23" xfId="0" applyFont="1" applyBorder="1" applyAlignment="1">
      <alignment horizontal="center" vertical="center"/>
    </xf>
    <xf numFmtId="0" fontId="28" fillId="0" borderId="0" xfId="4"/>
    <xf numFmtId="0" fontId="30" fillId="0" borderId="0" xfId="4" applyFont="1"/>
    <xf numFmtId="0" fontId="31" fillId="15" borderId="0" xfId="5" applyFill="1"/>
    <xf numFmtId="0" fontId="32" fillId="0" borderId="0" xfId="4" applyFont="1" applyAlignment="1">
      <alignment horizontal="center" vertical="center"/>
    </xf>
    <xf numFmtId="0" fontId="34" fillId="0" borderId="0" xfId="4" applyFont="1"/>
    <xf numFmtId="0" fontId="35" fillId="0" borderId="0" xfId="4" applyFont="1"/>
    <xf numFmtId="0" fontId="34" fillId="0" borderId="0" xfId="4" applyFont="1" applyAlignment="1">
      <alignment horizontal="center"/>
    </xf>
    <xf numFmtId="0" fontId="34" fillId="0" borderId="0" xfId="4" applyFont="1" applyFill="1" applyAlignment="1">
      <alignment horizontal="center"/>
    </xf>
    <xf numFmtId="0" fontId="28" fillId="10" borderId="23" xfId="4" applyFill="1" applyBorder="1"/>
    <xf numFmtId="10" fontId="28" fillId="10" borderId="23" xfId="2" applyNumberFormat="1" applyFont="1" applyFill="1" applyBorder="1" applyAlignment="1"/>
    <xf numFmtId="0" fontId="28" fillId="16" borderId="23" xfId="4" applyFill="1" applyBorder="1"/>
    <xf numFmtId="10" fontId="28" fillId="16" borderId="23" xfId="2" applyNumberFormat="1" applyFont="1" applyFill="1" applyBorder="1" applyAlignment="1"/>
    <xf numFmtId="0" fontId="4" fillId="0" borderId="23" xfId="0" applyFont="1" applyBorder="1">
      <alignment vertical="center"/>
    </xf>
    <xf numFmtId="0" fontId="0" fillId="0" borderId="0" xfId="0" applyFont="1" applyFill="1">
      <alignment vertical="center"/>
    </xf>
    <xf numFmtId="0" fontId="37" fillId="2" borderId="0" xfId="0" applyFont="1" applyFill="1" applyAlignment="1">
      <alignment horizontal="left" vertical="center"/>
    </xf>
    <xf numFmtId="0" fontId="38" fillId="2" borderId="0" xfId="0" applyFont="1" applyFill="1" applyAlignment="1" applyProtection="1">
      <alignment horizontal="left" vertical="center"/>
      <protection locked="0"/>
    </xf>
    <xf numFmtId="0" fontId="37" fillId="2" borderId="0" xfId="0" applyFont="1" applyFill="1">
      <alignment vertical="center"/>
    </xf>
    <xf numFmtId="0" fontId="37" fillId="17" borderId="0" xfId="0" applyFont="1" applyFill="1">
      <alignment vertical="center"/>
    </xf>
    <xf numFmtId="0" fontId="39" fillId="17" borderId="0" xfId="0" applyFont="1" applyFill="1" applyAlignment="1" applyProtection="1">
      <alignment horizontal="center" vertical="center"/>
      <protection locked="0"/>
    </xf>
    <xf numFmtId="0" fontId="40" fillId="17" borderId="0" xfId="0" applyFont="1" applyFill="1" applyAlignment="1" applyProtection="1">
      <alignment horizontal="center" vertical="center"/>
      <protection locked="0"/>
    </xf>
    <xf numFmtId="0" fontId="41" fillId="17" borderId="0" xfId="0" applyFont="1" applyFill="1" applyAlignment="1" applyProtection="1">
      <alignment horizontal="center" vertical="center"/>
      <protection locked="0"/>
    </xf>
    <xf numFmtId="0" fontId="0" fillId="17" borderId="15" xfId="0" applyFill="1" applyBorder="1">
      <alignment vertical="center"/>
    </xf>
    <xf numFmtId="0" fontId="0" fillId="17" borderId="0" xfId="0" applyFill="1" applyBorder="1">
      <alignment vertical="center"/>
    </xf>
    <xf numFmtId="0" fontId="0" fillId="17" borderId="16" xfId="0" applyFill="1" applyBorder="1">
      <alignment vertical="center"/>
    </xf>
    <xf numFmtId="0" fontId="0" fillId="17" borderId="0" xfId="0" applyFill="1">
      <alignment vertical="center"/>
    </xf>
    <xf numFmtId="0" fontId="0" fillId="17" borderId="0" xfId="0" applyFill="1" applyAlignment="1">
      <alignment horizontal="center" vertical="center"/>
    </xf>
    <xf numFmtId="0" fontId="0" fillId="2" borderId="33" xfId="0" applyFill="1" applyBorder="1">
      <alignment vertical="center"/>
    </xf>
    <xf numFmtId="0" fontId="0" fillId="2" borderId="34" xfId="0" applyFill="1" applyBorder="1">
      <alignment vertical="center"/>
    </xf>
    <xf numFmtId="0" fontId="0" fillId="2" borderId="35" xfId="0" applyFill="1" applyBorder="1">
      <alignment vertical="center"/>
    </xf>
    <xf numFmtId="0" fontId="0" fillId="2" borderId="0" xfId="0" applyFill="1" applyAlignment="1">
      <alignment horizontal="center" vertical="center"/>
    </xf>
    <xf numFmtId="0" fontId="0" fillId="10" borderId="0" xfId="0" applyFill="1">
      <alignment vertical="center"/>
    </xf>
    <xf numFmtId="0" fontId="0" fillId="16" borderId="0" xfId="0" applyFill="1">
      <alignment vertical="center"/>
    </xf>
    <xf numFmtId="0" fontId="0" fillId="20" borderId="0" xfId="0" applyFill="1">
      <alignment vertical="center"/>
    </xf>
    <xf numFmtId="0" fontId="0" fillId="21" borderId="0" xfId="0" applyFill="1">
      <alignment vertical="center"/>
    </xf>
    <xf numFmtId="0" fontId="0" fillId="4" borderId="0" xfId="0" applyFill="1">
      <alignment vertical="center"/>
    </xf>
    <xf numFmtId="10" fontId="0" fillId="10" borderId="0" xfId="2" applyNumberFormat="1" applyFont="1" applyFill="1">
      <alignment vertical="center"/>
    </xf>
    <xf numFmtId="3" fontId="0" fillId="0" borderId="0" xfId="0" applyNumberFormat="1">
      <alignment vertical="center"/>
    </xf>
    <xf numFmtId="176" fontId="0" fillId="0" borderId="0" xfId="1" applyFont="1">
      <alignment vertical="center"/>
    </xf>
    <xf numFmtId="176" fontId="0" fillId="0" borderId="0" xfId="1" applyFont="1" applyAlignment="1">
      <alignment horizontal="right" vertical="center"/>
    </xf>
    <xf numFmtId="0" fontId="12" fillId="0" borderId="46" xfId="0" applyFont="1" applyBorder="1" applyAlignment="1">
      <alignment horizontal="center" vertical="center" wrapText="1"/>
    </xf>
    <xf numFmtId="0" fontId="16" fillId="13" borderId="43" xfId="0" applyFont="1" applyFill="1" applyBorder="1" applyAlignment="1">
      <alignment horizontal="center" vertical="center"/>
    </xf>
    <xf numFmtId="9" fontId="0" fillId="2" borderId="15" xfId="2" applyFont="1" applyFill="1" applyBorder="1" applyAlignment="1">
      <alignment horizontal="center" vertical="center"/>
    </xf>
    <xf numFmtId="9" fontId="0" fillId="2" borderId="0" xfId="2" applyFont="1" applyFill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3" fillId="0" borderId="0" xfId="3" applyFont="1" applyAlignment="1">
      <alignment horizontal="center" vertical="center"/>
    </xf>
    <xf numFmtId="0" fontId="22" fillId="14" borderId="0" xfId="3" applyFont="1" applyFill="1" applyAlignment="1">
      <alignment horizontal="left" vertical="center" wrapText="1"/>
    </xf>
    <xf numFmtId="0" fontId="23" fillId="14" borderId="0" xfId="3" applyFont="1" applyFill="1" applyAlignment="1">
      <alignment horizontal="right" vertical="center" wrapText="1"/>
    </xf>
    <xf numFmtId="0" fontId="3" fillId="11" borderId="44" xfId="0" applyFont="1" applyFill="1" applyBorder="1" applyAlignment="1">
      <alignment horizontal="center" vertical="center" wrapText="1"/>
    </xf>
    <xf numFmtId="0" fontId="3" fillId="11" borderId="45" xfId="0" applyFont="1" applyFill="1" applyBorder="1" applyAlignment="1">
      <alignment horizontal="center" vertical="center" wrapText="1"/>
    </xf>
    <xf numFmtId="0" fontId="43" fillId="0" borderId="0" xfId="4" applyFont="1" applyAlignment="1">
      <alignment horizontal="center" vertical="center" wrapText="1"/>
    </xf>
    <xf numFmtId="0" fontId="4" fillId="0" borderId="52" xfId="0" applyFont="1" applyFill="1" applyBorder="1" applyAlignment="1">
      <alignment horizontal="center" vertical="center"/>
    </xf>
    <xf numFmtId="0" fontId="4" fillId="0" borderId="5" xfId="0" applyFont="1" applyFill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4" fillId="0" borderId="10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3" fillId="0" borderId="17" xfId="0" applyFont="1" applyFill="1" applyBorder="1">
      <alignment vertical="center"/>
    </xf>
    <xf numFmtId="0" fontId="0" fillId="0" borderId="18" xfId="0" applyFill="1" applyBorder="1">
      <alignment vertical="center"/>
    </xf>
    <xf numFmtId="0" fontId="0" fillId="0" borderId="19" xfId="0" applyFill="1" applyBorder="1">
      <alignment vertical="center"/>
    </xf>
    <xf numFmtId="0" fontId="0" fillId="0" borderId="20" xfId="0" applyFill="1" applyBorder="1">
      <alignment vertical="center"/>
    </xf>
    <xf numFmtId="0" fontId="3" fillId="0" borderId="21" xfId="0" applyFont="1" applyFill="1" applyBorder="1">
      <alignment vertical="center"/>
    </xf>
    <xf numFmtId="0" fontId="0" fillId="0" borderId="22" xfId="0" applyFill="1" applyBorder="1">
      <alignment vertical="center"/>
    </xf>
    <xf numFmtId="0" fontId="0" fillId="0" borderId="23" xfId="0" applyFill="1" applyBorder="1">
      <alignment vertical="center"/>
    </xf>
    <xf numFmtId="0" fontId="0" fillId="0" borderId="24" xfId="0" applyFill="1" applyBorder="1">
      <alignment vertical="center"/>
    </xf>
    <xf numFmtId="0" fontId="0" fillId="0" borderId="23" xfId="0" applyFont="1" applyFill="1" applyBorder="1">
      <alignment vertical="center"/>
    </xf>
    <xf numFmtId="0" fontId="0" fillId="0" borderId="54" xfId="0" applyFill="1" applyBorder="1">
      <alignment vertical="center"/>
    </xf>
    <xf numFmtId="0" fontId="3" fillId="0" borderId="25" xfId="0" applyFont="1" applyFill="1" applyBorder="1">
      <alignment vertical="center"/>
    </xf>
    <xf numFmtId="0" fontId="0" fillId="0" borderId="26" xfId="0" applyFill="1" applyBorder="1">
      <alignment vertical="center"/>
    </xf>
    <xf numFmtId="0" fontId="0" fillId="0" borderId="27" xfId="0" applyFill="1" applyBorder="1">
      <alignment vertical="center"/>
    </xf>
    <xf numFmtId="0" fontId="0" fillId="0" borderId="28" xfId="0" applyFill="1" applyBorder="1">
      <alignment vertical="center"/>
    </xf>
    <xf numFmtId="9" fontId="0" fillId="0" borderId="18" xfId="2" applyFont="1" applyFill="1" applyBorder="1">
      <alignment vertical="center"/>
    </xf>
    <xf numFmtId="9" fontId="0" fillId="0" borderId="19" xfId="2" applyFont="1" applyFill="1" applyBorder="1">
      <alignment vertical="center"/>
    </xf>
    <xf numFmtId="9" fontId="0" fillId="0" borderId="20" xfId="2" applyFont="1" applyFill="1" applyBorder="1">
      <alignment vertical="center"/>
    </xf>
    <xf numFmtId="9" fontId="0" fillId="0" borderId="22" xfId="2" applyFont="1" applyFill="1" applyBorder="1">
      <alignment vertical="center"/>
    </xf>
    <xf numFmtId="9" fontId="0" fillId="0" borderId="23" xfId="2" applyFont="1" applyFill="1" applyBorder="1">
      <alignment vertical="center"/>
    </xf>
    <xf numFmtId="9" fontId="0" fillId="0" borderId="24" xfId="2" applyFont="1" applyFill="1" applyBorder="1">
      <alignment vertical="center"/>
    </xf>
    <xf numFmtId="178" fontId="0" fillId="0" borderId="22" xfId="0" applyNumberFormat="1" applyFill="1" applyBorder="1">
      <alignment vertical="center"/>
    </xf>
    <xf numFmtId="178" fontId="0" fillId="0" borderId="23" xfId="0" applyNumberFormat="1" applyFill="1" applyBorder="1">
      <alignment vertical="center"/>
    </xf>
    <xf numFmtId="178" fontId="0" fillId="0" borderId="24" xfId="0" applyNumberFormat="1" applyFill="1" applyBorder="1">
      <alignment vertical="center"/>
    </xf>
    <xf numFmtId="178" fontId="0" fillId="0" borderId="22" xfId="2" applyNumberFormat="1" applyFont="1" applyFill="1" applyBorder="1">
      <alignment vertical="center"/>
    </xf>
    <xf numFmtId="178" fontId="0" fillId="0" borderId="23" xfId="2" applyNumberFormat="1" applyFont="1" applyFill="1" applyBorder="1">
      <alignment vertical="center"/>
    </xf>
    <xf numFmtId="178" fontId="0" fillId="0" borderId="24" xfId="2" applyNumberFormat="1" applyFont="1" applyFill="1" applyBorder="1">
      <alignment vertical="center"/>
    </xf>
    <xf numFmtId="180" fontId="0" fillId="0" borderId="22" xfId="2" applyNumberFormat="1" applyFont="1" applyFill="1" applyBorder="1">
      <alignment vertical="center"/>
    </xf>
    <xf numFmtId="180" fontId="0" fillId="0" borderId="23" xfId="2" applyNumberFormat="1" applyFont="1" applyFill="1" applyBorder="1">
      <alignment vertical="center"/>
    </xf>
    <xf numFmtId="180" fontId="0" fillId="0" borderId="24" xfId="2" applyNumberFormat="1" applyFont="1" applyFill="1" applyBorder="1">
      <alignment vertical="center"/>
    </xf>
    <xf numFmtId="0" fontId="3" fillId="0" borderId="21" xfId="0" applyFont="1" applyFill="1" applyBorder="1" applyAlignment="1">
      <alignment vertical="center"/>
    </xf>
    <xf numFmtId="9" fontId="0" fillId="0" borderId="22" xfId="2" applyFont="1" applyFill="1" applyBorder="1" applyAlignment="1">
      <alignment vertical="center"/>
    </xf>
    <xf numFmtId="9" fontId="0" fillId="0" borderId="23" xfId="2" applyFont="1" applyFill="1" applyBorder="1" applyAlignment="1">
      <alignment vertical="center"/>
    </xf>
    <xf numFmtId="9" fontId="0" fillId="0" borderId="60" xfId="2" applyFont="1" applyFill="1" applyBorder="1" applyAlignment="1">
      <alignment vertical="center"/>
    </xf>
    <xf numFmtId="181" fontId="0" fillId="0" borderId="57" xfId="0" applyNumberFormat="1" applyFill="1" applyBorder="1">
      <alignment vertical="center"/>
    </xf>
    <xf numFmtId="181" fontId="0" fillId="0" borderId="58" xfId="0" applyNumberFormat="1" applyFill="1" applyBorder="1">
      <alignment vertical="center"/>
    </xf>
    <xf numFmtId="181" fontId="0" fillId="0" borderId="59" xfId="0" applyNumberFormat="1" applyFill="1" applyBorder="1">
      <alignment vertical="center"/>
    </xf>
    <xf numFmtId="181" fontId="0" fillId="0" borderId="22" xfId="0" applyNumberFormat="1" applyFill="1" applyBorder="1">
      <alignment vertical="center"/>
    </xf>
    <xf numFmtId="181" fontId="0" fillId="0" borderId="23" xfId="0" applyNumberFormat="1" applyFill="1" applyBorder="1">
      <alignment vertical="center"/>
    </xf>
    <xf numFmtId="181" fontId="0" fillId="0" borderId="24" xfId="0" applyNumberFormat="1" applyFill="1" applyBorder="1">
      <alignment vertical="center"/>
    </xf>
    <xf numFmtId="179" fontId="0" fillId="0" borderId="22" xfId="2" applyNumberFormat="1" applyFont="1" applyFill="1" applyBorder="1">
      <alignment vertical="center"/>
    </xf>
    <xf numFmtId="179" fontId="0" fillId="0" borderId="23" xfId="2" applyNumberFormat="1" applyFont="1" applyFill="1" applyBorder="1">
      <alignment vertical="center"/>
    </xf>
    <xf numFmtId="179" fontId="0" fillId="0" borderId="24" xfId="2" applyNumberFormat="1" applyFont="1" applyFill="1" applyBorder="1">
      <alignment vertical="center"/>
    </xf>
    <xf numFmtId="0" fontId="3" fillId="0" borderId="25" xfId="0" applyFont="1" applyFill="1" applyBorder="1" applyAlignment="1">
      <alignment horizontal="left" vertical="center"/>
    </xf>
    <xf numFmtId="9" fontId="0" fillId="0" borderId="26" xfId="2" applyFont="1" applyFill="1" applyBorder="1">
      <alignment vertical="center"/>
    </xf>
    <xf numFmtId="9" fontId="0" fillId="0" borderId="27" xfId="2" applyFont="1" applyFill="1" applyBorder="1">
      <alignment vertical="center"/>
    </xf>
    <xf numFmtId="9" fontId="0" fillId="0" borderId="28" xfId="2" applyFont="1" applyFill="1" applyBorder="1">
      <alignment vertical="center"/>
    </xf>
    <xf numFmtId="0" fontId="0" fillId="0" borderId="23" xfId="0" applyFill="1" applyBorder="1" applyAlignment="1">
      <alignment vertical="center" wrapText="1"/>
    </xf>
    <xf numFmtId="0" fontId="0" fillId="0" borderId="24" xfId="0" applyFill="1" applyBorder="1" applyAlignment="1">
      <alignment vertical="center" wrapText="1"/>
    </xf>
    <xf numFmtId="0" fontId="3" fillId="0" borderId="53" xfId="0" applyFont="1" applyFill="1" applyBorder="1" applyAlignment="1">
      <alignment vertical="center"/>
    </xf>
    <xf numFmtId="0" fontId="28" fillId="22" borderId="23" xfId="4" applyFill="1" applyBorder="1"/>
    <xf numFmtId="0" fontId="5" fillId="0" borderId="0" xfId="3">
      <alignment vertical="center"/>
    </xf>
    <xf numFmtId="0" fontId="4" fillId="0" borderId="51" xfId="0" applyFont="1" applyFill="1" applyBorder="1" applyAlignment="1">
      <alignment horizontal="center" vertical="center"/>
    </xf>
    <xf numFmtId="0" fontId="3" fillId="11" borderId="44" xfId="0" applyFont="1" applyFill="1" applyBorder="1" applyAlignment="1">
      <alignment horizontal="center" vertical="center" wrapText="1"/>
    </xf>
    <xf numFmtId="0" fontId="3" fillId="11" borderId="45" xfId="0" applyFont="1" applyFill="1" applyBorder="1" applyAlignment="1">
      <alignment horizontal="center" vertical="center" wrapText="1"/>
    </xf>
    <xf numFmtId="0" fontId="3" fillId="0" borderId="56" xfId="0" applyFont="1" applyFill="1" applyBorder="1" applyAlignment="1">
      <alignment horizontal="left" vertical="center"/>
    </xf>
    <xf numFmtId="0" fontId="3" fillId="0" borderId="21" xfId="0" applyFont="1" applyFill="1" applyBorder="1" applyAlignment="1">
      <alignment horizontal="left" vertical="center"/>
    </xf>
    <xf numFmtId="181" fontId="0" fillId="2" borderId="15" xfId="0" applyNumberFormat="1" applyFill="1" applyBorder="1" applyAlignment="1">
      <alignment horizontal="center" vertical="center"/>
    </xf>
    <xf numFmtId="181" fontId="0" fillId="2" borderId="0" xfId="0" applyNumberForma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9" fontId="0" fillId="2" borderId="1" xfId="2" applyFont="1" applyFill="1" applyBorder="1" applyAlignment="1">
      <alignment horizontal="center" vertical="center"/>
    </xf>
    <xf numFmtId="9" fontId="0" fillId="2" borderId="15" xfId="2" applyFont="1" applyFill="1" applyBorder="1" applyAlignment="1">
      <alignment horizontal="center" vertical="center"/>
    </xf>
    <xf numFmtId="9" fontId="0" fillId="2" borderId="2" xfId="2" applyFont="1" applyFill="1" applyBorder="1" applyAlignment="1">
      <alignment horizontal="center" vertical="center"/>
    </xf>
    <xf numFmtId="9" fontId="0" fillId="2" borderId="0" xfId="2" applyFont="1" applyFill="1" applyBorder="1" applyAlignment="1">
      <alignment horizontal="center" vertical="center"/>
    </xf>
    <xf numFmtId="0" fontId="3" fillId="11" borderId="44" xfId="0" applyFont="1" applyFill="1" applyBorder="1" applyAlignment="1">
      <alignment horizontal="center" vertical="center" wrapText="1"/>
    </xf>
    <xf numFmtId="0" fontId="3" fillId="11" borderId="45" xfId="0" applyFont="1" applyFill="1" applyBorder="1" applyAlignment="1">
      <alignment horizontal="center" vertical="center" wrapText="1"/>
    </xf>
    <xf numFmtId="0" fontId="0" fillId="0" borderId="42" xfId="0" applyFill="1" applyBorder="1" applyAlignment="1">
      <alignment horizontal="center" vertical="center"/>
    </xf>
    <xf numFmtId="0" fontId="0" fillId="0" borderId="41" xfId="0" applyFill="1" applyBorder="1" applyAlignment="1">
      <alignment horizontal="center" vertical="center"/>
    </xf>
    <xf numFmtId="0" fontId="0" fillId="0" borderId="61" xfId="0" applyFill="1" applyBorder="1" applyAlignment="1">
      <alignment horizontal="center" vertical="center"/>
    </xf>
    <xf numFmtId="0" fontId="5" fillId="0" borderId="55" xfId="3" applyBorder="1" applyAlignment="1">
      <alignment horizontal="center" vertical="center"/>
    </xf>
    <xf numFmtId="0" fontId="5" fillId="0" borderId="0" xfId="3" applyAlignment="1">
      <alignment horizontal="center" vertical="center"/>
    </xf>
    <xf numFmtId="0" fontId="17" fillId="13" borderId="47" xfId="3" applyFont="1" applyFill="1" applyBorder="1" applyAlignment="1">
      <alignment horizontal="center" vertical="center" wrapText="1"/>
    </xf>
    <xf numFmtId="0" fontId="17" fillId="13" borderId="48" xfId="3" applyFont="1" applyFill="1" applyBorder="1" applyAlignment="1">
      <alignment horizontal="center" vertical="center" wrapText="1"/>
    </xf>
    <xf numFmtId="0" fontId="17" fillId="13" borderId="49" xfId="3" applyFont="1" applyFill="1" applyBorder="1" applyAlignment="1">
      <alignment horizontal="center" vertical="center" wrapText="1"/>
    </xf>
    <xf numFmtId="0" fontId="0" fillId="12" borderId="44" xfId="0" applyFill="1" applyBorder="1" applyAlignment="1">
      <alignment horizontal="center" vertical="center"/>
    </xf>
    <xf numFmtId="0" fontId="0" fillId="12" borderId="46" xfId="0" applyFill="1" applyBorder="1" applyAlignment="1">
      <alignment horizontal="center" vertical="center"/>
    </xf>
    <xf numFmtId="0" fontId="0" fillId="12" borderId="45" xfId="0" applyFill="1" applyBorder="1" applyAlignment="1">
      <alignment horizontal="center" vertical="center"/>
    </xf>
    <xf numFmtId="20" fontId="0" fillId="12" borderId="44" xfId="3" applyNumberFormat="1" applyFont="1" applyFill="1" applyBorder="1" applyAlignment="1">
      <alignment horizontal="center" vertical="center"/>
    </xf>
    <xf numFmtId="20" fontId="0" fillId="12" borderId="46" xfId="3" applyNumberFormat="1" applyFont="1" applyFill="1" applyBorder="1" applyAlignment="1">
      <alignment horizontal="center" vertical="center"/>
    </xf>
    <xf numFmtId="20" fontId="0" fillId="12" borderId="45" xfId="3" applyNumberFormat="1" applyFont="1" applyFill="1" applyBorder="1" applyAlignment="1">
      <alignment horizontal="center" vertical="center"/>
    </xf>
    <xf numFmtId="0" fontId="3" fillId="12" borderId="44" xfId="0" applyFont="1" applyFill="1" applyBorder="1" applyAlignment="1">
      <alignment horizontal="center" vertical="center"/>
    </xf>
    <xf numFmtId="0" fontId="3" fillId="12" borderId="46" xfId="0" applyFont="1" applyFill="1" applyBorder="1" applyAlignment="1">
      <alignment horizontal="center" vertical="center"/>
    </xf>
    <xf numFmtId="0" fontId="3" fillId="12" borderId="45" xfId="0" applyFont="1" applyFill="1" applyBorder="1" applyAlignment="1">
      <alignment horizontal="center" vertical="center"/>
    </xf>
    <xf numFmtId="0" fontId="0" fillId="12" borderId="44" xfId="3" applyFont="1" applyFill="1" applyBorder="1" applyAlignment="1">
      <alignment horizontal="center" vertical="center"/>
    </xf>
    <xf numFmtId="0" fontId="0" fillId="12" borderId="46" xfId="3" applyFont="1" applyFill="1" applyBorder="1" applyAlignment="1">
      <alignment horizontal="center" vertical="center"/>
    </xf>
    <xf numFmtId="0" fontId="0" fillId="12" borderId="45" xfId="3" applyFont="1" applyFill="1" applyBorder="1" applyAlignment="1">
      <alignment horizontal="center" vertical="center"/>
    </xf>
    <xf numFmtId="3" fontId="0" fillId="12" borderId="44" xfId="0" applyNumberFormat="1" applyFill="1" applyBorder="1" applyAlignment="1">
      <alignment horizontal="center" vertical="center"/>
    </xf>
    <xf numFmtId="3" fontId="0" fillId="12" borderId="46" xfId="0" applyNumberFormat="1" applyFill="1" applyBorder="1" applyAlignment="1">
      <alignment horizontal="center" vertical="center"/>
    </xf>
    <xf numFmtId="3" fontId="0" fillId="12" borderId="45" xfId="0" applyNumberFormat="1" applyFill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1" fillId="0" borderId="0" xfId="0" applyFont="1" applyAlignment="1">
      <alignment wrapText="1"/>
    </xf>
    <xf numFmtId="0" fontId="21" fillId="0" borderId="0" xfId="0" applyFont="1" applyAlignment="1">
      <alignment vertical="center" wrapText="1"/>
    </xf>
    <xf numFmtId="0" fontId="42" fillId="17" borderId="0" xfId="0" applyFont="1" applyFill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 vertical="center"/>
    </xf>
    <xf numFmtId="0" fontId="36" fillId="18" borderId="15" xfId="0" applyFont="1" applyFill="1" applyBorder="1" applyAlignment="1">
      <alignment horizontal="center" vertical="center"/>
    </xf>
    <xf numFmtId="0" fontId="36" fillId="18" borderId="0" xfId="0" applyFont="1" applyFill="1" applyBorder="1" applyAlignment="1">
      <alignment horizontal="center" vertical="center"/>
    </xf>
    <xf numFmtId="0" fontId="36" fillId="18" borderId="16" xfId="0" applyFont="1" applyFill="1" applyBorder="1" applyAlignment="1">
      <alignment horizontal="center" vertical="center"/>
    </xf>
    <xf numFmtId="0" fontId="36" fillId="19" borderId="15" xfId="0" applyFont="1" applyFill="1" applyBorder="1" applyAlignment="1">
      <alignment horizontal="center" vertical="center"/>
    </xf>
    <xf numFmtId="0" fontId="36" fillId="19" borderId="0" xfId="0" applyFont="1" applyFill="1" applyBorder="1" applyAlignment="1">
      <alignment horizontal="center" vertical="center"/>
    </xf>
    <xf numFmtId="0" fontId="36" fillId="19" borderId="16" xfId="0" applyFont="1" applyFill="1" applyBorder="1" applyAlignment="1">
      <alignment horizontal="center" vertical="center"/>
    </xf>
    <xf numFmtId="0" fontId="36" fillId="10" borderId="15" xfId="0" applyFont="1" applyFill="1" applyBorder="1" applyAlignment="1">
      <alignment horizontal="center" vertical="center"/>
    </xf>
    <xf numFmtId="0" fontId="36" fillId="10" borderId="0" xfId="0" applyFont="1" applyFill="1" applyBorder="1" applyAlignment="1">
      <alignment horizontal="center" vertical="center"/>
    </xf>
    <xf numFmtId="0" fontId="36" fillId="10" borderId="16" xfId="0" applyFont="1" applyFill="1" applyBorder="1" applyAlignment="1">
      <alignment horizontal="center" vertical="center"/>
    </xf>
    <xf numFmtId="14" fontId="4" fillId="5" borderId="4" xfId="0" applyNumberFormat="1" applyFont="1" applyFill="1" applyBorder="1" applyAlignment="1">
      <alignment horizontal="center" vertical="center"/>
    </xf>
    <xf numFmtId="14" fontId="4" fillId="5" borderId="7" xfId="0" applyNumberFormat="1" applyFont="1" applyFill="1" applyBorder="1" applyAlignment="1">
      <alignment horizontal="center" vertical="center"/>
    </xf>
    <xf numFmtId="0" fontId="10" fillId="5" borderId="7" xfId="0" applyFont="1" applyFill="1" applyBorder="1" applyAlignment="1">
      <alignment horizontal="left" vertical="center"/>
    </xf>
    <xf numFmtId="0" fontId="10" fillId="5" borderId="2" xfId="0" applyFont="1" applyFill="1" applyBorder="1" applyAlignment="1">
      <alignment horizontal="left" vertical="center"/>
    </xf>
    <xf numFmtId="0" fontId="4" fillId="6" borderId="37" xfId="0" applyFont="1" applyFill="1" applyBorder="1" applyAlignment="1">
      <alignment horizontal="left" vertical="center"/>
    </xf>
    <xf numFmtId="0" fontId="4" fillId="6" borderId="38" xfId="0" applyFont="1" applyFill="1" applyBorder="1" applyAlignment="1">
      <alignment horizontal="left" vertical="center"/>
    </xf>
    <xf numFmtId="179" fontId="4" fillId="7" borderId="29" xfId="0" applyNumberFormat="1" applyFont="1" applyFill="1" applyBorder="1" applyAlignment="1">
      <alignment horizontal="center" vertical="center"/>
    </xf>
    <xf numFmtId="179" fontId="4" fillId="7" borderId="19" xfId="0" applyNumberFormat="1" applyFont="1" applyFill="1" applyBorder="1" applyAlignment="1">
      <alignment horizontal="center" vertical="center"/>
    </xf>
    <xf numFmtId="179" fontId="4" fillId="7" borderId="36" xfId="0" applyNumberFormat="1" applyFont="1" applyFill="1" applyBorder="1" applyAlignment="1">
      <alignment horizontal="center" vertical="center"/>
    </xf>
    <xf numFmtId="179" fontId="4" fillId="8" borderId="37" xfId="0" applyNumberFormat="1" applyFont="1" applyFill="1" applyBorder="1" applyAlignment="1">
      <alignment horizontal="center" vertical="center"/>
    </xf>
    <xf numFmtId="179" fontId="4" fillId="8" borderId="38" xfId="0" applyNumberFormat="1" applyFont="1" applyFill="1" applyBorder="1" applyAlignment="1">
      <alignment horizontal="center" vertical="center"/>
    </xf>
    <xf numFmtId="179" fontId="4" fillId="6" borderId="37" xfId="0" applyNumberFormat="1" applyFont="1" applyFill="1" applyBorder="1" applyAlignment="1">
      <alignment horizontal="center" vertical="center"/>
    </xf>
    <xf numFmtId="179" fontId="4" fillId="6" borderId="40" xfId="0" applyNumberFormat="1" applyFont="1" applyFill="1" applyBorder="1" applyAlignment="1">
      <alignment horizontal="center" vertical="center"/>
    </xf>
    <xf numFmtId="179" fontId="4" fillId="6" borderId="38" xfId="0" applyNumberFormat="1" applyFont="1" applyFill="1" applyBorder="1" applyAlignment="1">
      <alignment horizontal="center" vertical="center"/>
    </xf>
    <xf numFmtId="0" fontId="4" fillId="9" borderId="37" xfId="0" applyFont="1" applyFill="1" applyBorder="1" applyAlignment="1">
      <alignment horizontal="left" vertical="center"/>
    </xf>
    <xf numFmtId="0" fontId="4" fillId="9" borderId="40" xfId="0" applyFont="1" applyFill="1" applyBorder="1" applyAlignment="1">
      <alignment horizontal="left" vertical="center"/>
    </xf>
    <xf numFmtId="0" fontId="4" fillId="9" borderId="38" xfId="0" applyFont="1" applyFill="1" applyBorder="1" applyAlignment="1">
      <alignment horizontal="left" vertical="center"/>
    </xf>
    <xf numFmtId="0" fontId="23" fillId="0" borderId="0" xfId="3" applyFont="1" applyAlignment="1">
      <alignment horizontal="center" vertical="center"/>
    </xf>
    <xf numFmtId="0" fontId="23" fillId="0" borderId="55" xfId="3" applyFont="1" applyBorder="1" applyAlignment="1">
      <alignment horizontal="center" vertical="center"/>
    </xf>
    <xf numFmtId="0" fontId="17" fillId="12" borderId="44" xfId="0" applyFont="1" applyFill="1" applyBorder="1" applyAlignment="1">
      <alignment horizontal="center" vertical="center"/>
    </xf>
    <xf numFmtId="0" fontId="17" fillId="12" borderId="46" xfId="0" applyFont="1" applyFill="1" applyBorder="1" applyAlignment="1">
      <alignment horizontal="center" vertical="center"/>
    </xf>
    <xf numFmtId="0" fontId="17" fillId="12" borderId="45" xfId="0" applyFont="1" applyFill="1" applyBorder="1" applyAlignment="1">
      <alignment horizontal="center" vertical="center"/>
    </xf>
    <xf numFmtId="0" fontId="17" fillId="13" borderId="47" xfId="3" applyFont="1" applyFill="1" applyBorder="1" applyAlignment="1">
      <alignment vertical="center" wrapText="1"/>
    </xf>
    <xf numFmtId="0" fontId="17" fillId="13" borderId="48" xfId="3" applyFont="1" applyFill="1" applyBorder="1" applyAlignment="1">
      <alignment vertical="center" wrapText="1"/>
    </xf>
    <xf numFmtId="0" fontId="17" fillId="13" borderId="49" xfId="3" applyFont="1" applyFill="1" applyBorder="1" applyAlignment="1">
      <alignment vertical="center" wrapText="1"/>
    </xf>
    <xf numFmtId="20" fontId="0" fillId="12" borderId="44" xfId="0" applyNumberFormat="1" applyFill="1" applyBorder="1" applyAlignment="1">
      <alignment horizontal="center" vertical="center"/>
    </xf>
    <xf numFmtId="20" fontId="0" fillId="12" borderId="46" xfId="0" applyNumberFormat="1" applyFill="1" applyBorder="1" applyAlignment="1">
      <alignment horizontal="center" vertical="center"/>
    </xf>
    <xf numFmtId="20" fontId="0" fillId="12" borderId="45" xfId="0" applyNumberFormat="1" applyFill="1" applyBorder="1" applyAlignment="1">
      <alignment horizontal="center" vertical="center"/>
    </xf>
    <xf numFmtId="0" fontId="0" fillId="23" borderId="1" xfId="0" applyNumberFormat="1" applyFill="1" applyBorder="1" applyAlignment="1">
      <alignment horizontal="right" vertical="center"/>
    </xf>
    <xf numFmtId="0" fontId="3" fillId="23" borderId="2" xfId="0" applyFont="1" applyFill="1" applyBorder="1" applyAlignment="1">
      <alignment horizontal="center" vertical="center"/>
    </xf>
    <xf numFmtId="0" fontId="44" fillId="12" borderId="44" xfId="0" applyFont="1" applyFill="1" applyBorder="1" applyAlignment="1">
      <alignment horizontal="center" vertical="center"/>
    </xf>
    <xf numFmtId="0" fontId="44" fillId="12" borderId="46" xfId="0" applyFont="1" applyFill="1" applyBorder="1" applyAlignment="1">
      <alignment horizontal="center" vertical="center"/>
    </xf>
    <xf numFmtId="0" fontId="44" fillId="12" borderId="45" xfId="0" applyFont="1" applyFill="1" applyBorder="1" applyAlignment="1">
      <alignment horizontal="center" vertical="center"/>
    </xf>
    <xf numFmtId="0" fontId="45" fillId="0" borderId="0" xfId="4" applyFont="1" applyAlignment="1">
      <alignment horizontal="center" vertical="center"/>
    </xf>
  </cellXfs>
  <cellStyles count="6">
    <cellStyle name="一般" xfId="0" builtinId="0"/>
    <cellStyle name="一般 2" xfId="4"/>
    <cellStyle name="千分位" xfId="1" builtinId="3"/>
    <cellStyle name="百分比" xfId="2" builtinId="5"/>
    <cellStyle name="超連結" xfId="3" builtinId="8"/>
    <cellStyle name="超連結 2" xfId="5"/>
  </cellStyles>
  <dxfs count="0"/>
  <tableStyles count="0" defaultTableStyle="TableStyleMedium2" defaultPivotStyle="PivotStyleLight16"/>
  <colors>
    <mruColors>
      <color rgb="FFFF3300"/>
      <color rgb="FFFF33CC"/>
      <color rgb="FF660066"/>
      <color rgb="FF0000FF"/>
      <color rgb="FFCC3300"/>
      <color rgb="FFCC0000"/>
      <color rgb="FF009900"/>
      <color rgb="FF66FF33"/>
      <color rgb="FF00FF99"/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96336006342938"/>
          <c:y val="5.6026230977511984E-2"/>
          <c:w val="0.74665571837881584"/>
          <c:h val="0.81755668895497147"/>
        </c:manualLayout>
      </c:layout>
      <c:barChart>
        <c:barDir val="col"/>
        <c:grouping val="clustered"/>
        <c:varyColors val="0"/>
        <c:ser>
          <c:idx val="0"/>
          <c:order val="0"/>
          <c:tx>
            <c:v>營收</c:v>
          </c:tx>
          <c:spPr>
            <a:solidFill>
              <a:srgbClr val="0070C0"/>
            </a:solidFill>
            <a:scene3d>
              <a:camera prst="orthographicFront"/>
              <a:lightRig rig="threePt" dir="t"/>
            </a:scene3d>
            <a:sp3d>
              <a:bevelT/>
              <a:bevelB prst="angle"/>
            </a:sp3d>
          </c:spPr>
          <c:invertIfNegative val="0"/>
          <c:cat>
            <c:strRef>
              <c:f>財報紅綠燈!$O$2:$V$2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財報紅綠燈!$O$3:$V$3</c:f>
              <c:numCache>
                <c:formatCode>General</c:formatCode>
                <c:ptCount val="8"/>
                <c:pt idx="0">
                  <c:v>158</c:v>
                </c:pt>
                <c:pt idx="1">
                  <c:v>215</c:v>
                </c:pt>
                <c:pt idx="2">
                  <c:v>160</c:v>
                </c:pt>
                <c:pt idx="3">
                  <c:v>192</c:v>
                </c:pt>
                <c:pt idx="4">
                  <c:v>206</c:v>
                </c:pt>
                <c:pt idx="5">
                  <c:v>231</c:v>
                </c:pt>
                <c:pt idx="6">
                  <c:v>184</c:v>
                </c:pt>
                <c:pt idx="7">
                  <c:v>209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3450640"/>
        <c:axId val="263451200"/>
      </c:barChart>
      <c:lineChart>
        <c:grouping val="standard"/>
        <c:varyColors val="0"/>
        <c:ser>
          <c:idx val="1"/>
          <c:order val="1"/>
          <c:tx>
            <c:strRef>
              <c:f>財報紅綠燈!$N$21</c:f>
              <c:strCache>
                <c:ptCount val="1"/>
                <c:pt idx="0">
                  <c:v>毛利率</c:v>
                </c:pt>
              </c:strCache>
            </c:strRef>
          </c:tx>
          <c:spPr>
            <a:ln w="44450"/>
          </c:spPr>
          <c:marker>
            <c:symbol val="none"/>
          </c:marker>
          <c:val>
            <c:numRef>
              <c:f>財報紅綠燈!$O$21:$V$21</c:f>
              <c:numCache>
                <c:formatCode>0%</c:formatCode>
                <c:ptCount val="8"/>
                <c:pt idx="0">
                  <c:v>0.57594936708860756</c:v>
                </c:pt>
                <c:pt idx="1">
                  <c:v>0.60465116279069764</c:v>
                </c:pt>
                <c:pt idx="2">
                  <c:v>0.59375</c:v>
                </c:pt>
                <c:pt idx="3">
                  <c:v>0.609375</c:v>
                </c:pt>
                <c:pt idx="4">
                  <c:v>0.58252427184466016</c:v>
                </c:pt>
                <c:pt idx="5">
                  <c:v>0.58441558441558439</c:v>
                </c:pt>
                <c:pt idx="6">
                  <c:v>0.57608695652173914</c:v>
                </c:pt>
                <c:pt idx="7">
                  <c:v>0.59808612440191389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財報紅綠燈!$N$22</c:f>
              <c:strCache>
                <c:ptCount val="1"/>
                <c:pt idx="0">
                  <c:v>營益率</c:v>
                </c:pt>
              </c:strCache>
            </c:strRef>
          </c:tx>
          <c:spPr>
            <a:ln w="44450">
              <a:solidFill>
                <a:srgbClr val="FFFF00"/>
              </a:solidFill>
            </a:ln>
          </c:spPr>
          <c:marker>
            <c:symbol val="none"/>
          </c:marker>
          <c:val>
            <c:numRef>
              <c:f>財報紅綠燈!$O$22:$V$22</c:f>
              <c:numCache>
                <c:formatCode>0%</c:formatCode>
                <c:ptCount val="8"/>
                <c:pt idx="0">
                  <c:v>0.24050632911392406</c:v>
                </c:pt>
                <c:pt idx="1">
                  <c:v>0.27906976744186046</c:v>
                </c:pt>
                <c:pt idx="2">
                  <c:v>0.24374999999999999</c:v>
                </c:pt>
                <c:pt idx="3">
                  <c:v>0.27604166666666669</c:v>
                </c:pt>
                <c:pt idx="4">
                  <c:v>0.27669902912621358</c:v>
                </c:pt>
                <c:pt idx="5">
                  <c:v>0.2943722943722944</c:v>
                </c:pt>
                <c:pt idx="6">
                  <c:v>0.22282608695652173</c:v>
                </c:pt>
                <c:pt idx="7">
                  <c:v>0.28229665071770332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3452320"/>
        <c:axId val="263451760"/>
      </c:lineChart>
      <c:catAx>
        <c:axId val="2634506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263451200"/>
        <c:crosses val="autoZero"/>
        <c:auto val="1"/>
        <c:lblAlgn val="ctr"/>
        <c:lblOffset val="100"/>
        <c:noMultiLvlLbl val="0"/>
      </c:catAx>
      <c:valAx>
        <c:axId val="2634512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263450640"/>
        <c:crosses val="autoZero"/>
        <c:crossBetween val="between"/>
      </c:valAx>
      <c:valAx>
        <c:axId val="263451760"/>
        <c:scaling>
          <c:orientation val="minMax"/>
        </c:scaling>
        <c:delete val="0"/>
        <c:axPos val="r"/>
        <c:numFmt formatCode="0%" sourceLinked="1"/>
        <c:majorTickMark val="none"/>
        <c:minorTickMark val="none"/>
        <c:tickLblPos val="nextTo"/>
        <c:crossAx val="263452320"/>
        <c:crosses val="max"/>
        <c:crossBetween val="between"/>
      </c:valAx>
      <c:catAx>
        <c:axId val="263452320"/>
        <c:scaling>
          <c:orientation val="minMax"/>
        </c:scaling>
        <c:delete val="1"/>
        <c:axPos val="b"/>
        <c:majorTickMark val="out"/>
        <c:minorTickMark val="none"/>
        <c:tickLblPos val="none"/>
        <c:crossAx val="263451760"/>
        <c:crosses val="autoZero"/>
        <c:auto val="1"/>
        <c:lblAlgn val="ctr"/>
        <c:lblOffset val="100"/>
        <c:noMultiLvlLbl val="0"/>
      </c:catAx>
      <c:spPr>
        <a:noFill/>
      </c:spPr>
    </c:plotArea>
    <c:plotVisOnly val="1"/>
    <c:dispBlanksAs val="gap"/>
    <c:showDLblsOverMax val="0"/>
  </c:chart>
  <c:spPr>
    <a:noFill/>
  </c:spPr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964289145554418"/>
          <c:y val="6.1852578105156208E-2"/>
          <c:w val="0.75693049638576404"/>
          <c:h val="0.81522571527106802"/>
        </c:manualLayout>
      </c:layout>
      <c:lineChart>
        <c:grouping val="standard"/>
        <c:varyColors val="0"/>
        <c:ser>
          <c:idx val="0"/>
          <c:order val="0"/>
          <c:tx>
            <c:strRef>
              <c:f>財報紅綠燈!$N$25</c:f>
              <c:strCache>
                <c:ptCount val="1"/>
                <c:pt idx="0">
                  <c:v>收款天數</c:v>
                </c:pt>
              </c:strCache>
            </c:strRef>
          </c:tx>
          <c:spPr>
            <a:ln w="44450">
              <a:solidFill>
                <a:srgbClr val="0000FF"/>
              </a:solidFill>
            </a:ln>
          </c:spPr>
          <c:marker>
            <c:symbol val="none"/>
          </c:marker>
          <c:cat>
            <c:strRef>
              <c:f>財報紅綠燈!$O$2:$V$2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財報紅綠燈!$O$25:$V$25</c:f>
              <c:numCache>
                <c:formatCode>General</c:formatCode>
                <c:ptCount val="8"/>
                <c:pt idx="0">
                  <c:v>77.668604651162795</c:v>
                </c:pt>
                <c:pt idx="1">
                  <c:v>77.668604651162795</c:v>
                </c:pt>
                <c:pt idx="2">
                  <c:v>103.796875</c:v>
                </c:pt>
                <c:pt idx="3">
                  <c:v>81.507161458333329</c:v>
                </c:pt>
                <c:pt idx="4">
                  <c:v>77.739684466019426</c:v>
                </c:pt>
                <c:pt idx="5">
                  <c:v>74.856601731601728</c:v>
                </c:pt>
                <c:pt idx="6">
                  <c:v>98.192934782608702</c:v>
                </c:pt>
                <c:pt idx="7">
                  <c:v>86.010765550239242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財報紅綠燈!$N$26</c:f>
              <c:strCache>
                <c:ptCount val="1"/>
                <c:pt idx="0">
                  <c:v>出貨天數</c:v>
                </c:pt>
              </c:strCache>
            </c:strRef>
          </c:tx>
          <c:spPr>
            <a:ln w="44450"/>
          </c:spPr>
          <c:marker>
            <c:symbol val="none"/>
          </c:marker>
          <c:val>
            <c:numRef>
              <c:f>財報紅綠燈!$O$26:$V$26</c:f>
              <c:numCache>
                <c:formatCode>General</c:formatCode>
                <c:ptCount val="8"/>
                <c:pt idx="0">
                  <c:v>45.625</c:v>
                </c:pt>
                <c:pt idx="1">
                  <c:v>45.625</c:v>
                </c:pt>
                <c:pt idx="2">
                  <c:v>66.682692307692307</c:v>
                </c:pt>
                <c:pt idx="3">
                  <c:v>66.916666666666671</c:v>
                </c:pt>
                <c:pt idx="4">
                  <c:v>59.418604651162788</c:v>
                </c:pt>
                <c:pt idx="5">
                  <c:v>48.951822916666664</c:v>
                </c:pt>
                <c:pt idx="6">
                  <c:v>56.153846153846153</c:v>
                </c:pt>
                <c:pt idx="7">
                  <c:v>52.686011904761905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財報紅綠燈!$N$24</c:f>
              <c:strCache>
                <c:ptCount val="1"/>
                <c:pt idx="0">
                  <c:v>付款天數</c:v>
                </c:pt>
              </c:strCache>
            </c:strRef>
          </c:tx>
          <c:spPr>
            <a:ln w="31750">
              <a:solidFill>
                <a:srgbClr val="7030A0"/>
              </a:solidFill>
              <a:prstDash val="sysDash"/>
            </a:ln>
          </c:spPr>
          <c:marker>
            <c:symbol val="none"/>
          </c:marker>
          <c:val>
            <c:numRef>
              <c:f>財報紅綠燈!$O$24:$V$24</c:f>
              <c:numCache>
                <c:formatCode>General</c:formatCode>
                <c:ptCount val="8"/>
                <c:pt idx="0">
                  <c:v>48.845588235294116</c:v>
                </c:pt>
                <c:pt idx="1">
                  <c:v>48.845588235294116</c:v>
                </c:pt>
                <c:pt idx="2">
                  <c:v>73</c:v>
                </c:pt>
                <c:pt idx="3">
                  <c:v>54.75</c:v>
                </c:pt>
                <c:pt idx="4">
                  <c:v>48.808139534883722</c:v>
                </c:pt>
                <c:pt idx="5">
                  <c:v>56.080729166666664</c:v>
                </c:pt>
                <c:pt idx="6">
                  <c:v>71.947115384615387</c:v>
                </c:pt>
                <c:pt idx="7">
                  <c:v>60.290178571428569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3456240"/>
        <c:axId val="263456800"/>
      </c:lineChart>
      <c:catAx>
        <c:axId val="2634562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263456800"/>
        <c:crosses val="autoZero"/>
        <c:auto val="1"/>
        <c:lblAlgn val="ctr"/>
        <c:lblOffset val="100"/>
        <c:noMultiLvlLbl val="0"/>
      </c:catAx>
      <c:valAx>
        <c:axId val="263456800"/>
        <c:scaling>
          <c:orientation val="minMax"/>
          <c:max val="125.55624999999999"/>
          <c:min val="35.5"/>
        </c:scaling>
        <c:delete val="0"/>
        <c:axPos val="l"/>
        <c:numFmt formatCode="#,##0_);[Red]\(#,##0\)" sourceLinked="0"/>
        <c:majorTickMark val="none"/>
        <c:minorTickMark val="none"/>
        <c:tickLblPos val="nextTo"/>
        <c:crossAx val="26345624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</c:spPr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474400050126359"/>
          <c:y val="6.6947421736162402E-2"/>
          <c:w val="0.74283666068547394"/>
          <c:h val="0.83029794761862064"/>
        </c:manualLayout>
      </c:layout>
      <c:barChart>
        <c:barDir val="col"/>
        <c:grouping val="clustered"/>
        <c:varyColors val="0"/>
        <c:ser>
          <c:idx val="0"/>
          <c:order val="0"/>
          <c:tx>
            <c:v>營業現金流</c:v>
          </c:tx>
          <c:spPr>
            <a:solidFill>
              <a:srgbClr val="CC3300"/>
            </a:solidFill>
          </c:spPr>
          <c:invertIfNegative val="0"/>
          <c:cat>
            <c:strRef>
              <c:f>財報紅綠燈!$O$2:$V$2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財報紅綠燈!$O$15:$V$15</c:f>
              <c:numCache>
                <c:formatCode>General</c:formatCode>
                <c:ptCount val="8"/>
                <c:pt idx="0">
                  <c:v>9</c:v>
                </c:pt>
                <c:pt idx="1">
                  <c:v>74</c:v>
                </c:pt>
                <c:pt idx="2">
                  <c:v>53</c:v>
                </c:pt>
                <c:pt idx="3">
                  <c:v>9</c:v>
                </c:pt>
                <c:pt idx="4">
                  <c:v>51</c:v>
                </c:pt>
                <c:pt idx="5">
                  <c:v>70</c:v>
                </c:pt>
                <c:pt idx="6">
                  <c:v>43</c:v>
                </c:pt>
                <c:pt idx="7">
                  <c:v>31</c:v>
                </c:pt>
              </c:numCache>
            </c:numRef>
          </c:val>
        </c:ser>
        <c:ser>
          <c:idx val="2"/>
          <c:order val="2"/>
          <c:tx>
            <c:v>自由</c:v>
          </c:tx>
          <c:spPr>
            <a:solidFill>
              <a:srgbClr val="0000FF"/>
            </a:solidFill>
          </c:spPr>
          <c:invertIfNegative val="0"/>
          <c:val>
            <c:numRef>
              <c:f>財報紅綠燈!$O$36:$V$36</c:f>
              <c:numCache>
                <c:formatCode>General</c:formatCode>
                <c:ptCount val="8"/>
                <c:pt idx="0">
                  <c:v>5</c:v>
                </c:pt>
                <c:pt idx="1">
                  <c:v>72</c:v>
                </c:pt>
                <c:pt idx="2">
                  <c:v>50</c:v>
                </c:pt>
                <c:pt idx="3">
                  <c:v>8</c:v>
                </c:pt>
                <c:pt idx="4">
                  <c:v>51</c:v>
                </c:pt>
                <c:pt idx="5">
                  <c:v>68</c:v>
                </c:pt>
                <c:pt idx="6">
                  <c:v>40</c:v>
                </c:pt>
                <c:pt idx="7">
                  <c:v>31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axId val="265545600"/>
        <c:axId val="265546160"/>
      </c:barChart>
      <c:lineChart>
        <c:grouping val="standard"/>
        <c:varyColors val="0"/>
        <c:ser>
          <c:idx val="1"/>
          <c:order val="1"/>
          <c:tx>
            <c:strRef>
              <c:f>財報紅綠燈!$N$23</c:f>
              <c:strCache>
                <c:ptCount val="1"/>
                <c:pt idx="0">
                  <c:v>負債比 </c:v>
                </c:pt>
              </c:strCache>
            </c:strRef>
          </c:tx>
          <c:spPr>
            <a:ln w="44450">
              <a:solidFill>
                <a:srgbClr val="660066"/>
              </a:solidFill>
            </a:ln>
          </c:spPr>
          <c:marker>
            <c:symbol val="none"/>
          </c:marker>
          <c:val>
            <c:numRef>
              <c:f>財報紅綠燈!$O$23:$V$23</c:f>
              <c:numCache>
                <c:formatCode>0%</c:formatCode>
                <c:ptCount val="8"/>
                <c:pt idx="0">
                  <c:v>0.17189631650750342</c:v>
                </c:pt>
                <c:pt idx="1">
                  <c:v>0.21470937129300119</c:v>
                </c:pt>
                <c:pt idx="2">
                  <c:v>0.2016036655211913</c:v>
                </c:pt>
                <c:pt idx="3">
                  <c:v>0.31543624161073824</c:v>
                </c:pt>
                <c:pt idx="4">
                  <c:v>0.17967781908302355</c:v>
                </c:pt>
                <c:pt idx="5">
                  <c:v>0.21115973741794311</c:v>
                </c:pt>
                <c:pt idx="6">
                  <c:v>0.19123931623931623</c:v>
                </c:pt>
                <c:pt idx="7">
                  <c:v>0.3276036400404449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5547280"/>
        <c:axId val="265546720"/>
      </c:lineChart>
      <c:catAx>
        <c:axId val="26554560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low"/>
        <c:crossAx val="265546160"/>
        <c:crosses val="autoZero"/>
        <c:auto val="1"/>
        <c:lblAlgn val="ctr"/>
        <c:lblOffset val="100"/>
        <c:noMultiLvlLbl val="0"/>
      </c:catAx>
      <c:valAx>
        <c:axId val="2655461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265545600"/>
        <c:crosses val="autoZero"/>
        <c:crossBetween val="between"/>
      </c:valAx>
      <c:valAx>
        <c:axId val="265546720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crossAx val="265547280"/>
        <c:crosses val="max"/>
        <c:crossBetween val="between"/>
      </c:valAx>
      <c:catAx>
        <c:axId val="265547280"/>
        <c:scaling>
          <c:orientation val="minMax"/>
        </c:scaling>
        <c:delete val="1"/>
        <c:axPos val="b"/>
        <c:majorTickMark val="out"/>
        <c:minorTickMark val="none"/>
        <c:tickLblPos val="none"/>
        <c:crossAx val="265546720"/>
        <c:crosses val="autoZero"/>
        <c:auto val="1"/>
        <c:lblAlgn val="ctr"/>
        <c:lblOffset val="100"/>
        <c:noMultiLvlLbl val="0"/>
      </c:catAx>
      <c:spPr>
        <a:noFill/>
      </c:spPr>
    </c:plotArea>
    <c:plotVisOnly val="1"/>
    <c:dispBlanksAs val="gap"/>
    <c:showDLblsOverMax val="0"/>
  </c:chart>
  <c:spPr>
    <a:noFill/>
  </c:spPr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904676173196478E-2"/>
          <c:y val="4.088739417264637E-2"/>
          <c:w val="0.80184649779883499"/>
          <c:h val="0.81755676144755107"/>
        </c:manualLayout>
      </c:layout>
      <c:barChart>
        <c:barDir val="col"/>
        <c:grouping val="clustered"/>
        <c:varyColors val="0"/>
        <c:ser>
          <c:idx val="0"/>
          <c:order val="0"/>
          <c:tx>
            <c:v>營業現金比</c:v>
          </c:tx>
          <c:spPr>
            <a:solidFill>
              <a:srgbClr val="660066"/>
            </a:solidFill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invertIfNegative val="0"/>
          <c:cat>
            <c:strRef>
              <c:f>財報紅綠燈!$O$2:$V$2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財報紅綠燈!$O$31:$V$31</c:f>
              <c:numCache>
                <c:formatCode>0.00_ </c:formatCode>
                <c:ptCount val="8"/>
                <c:pt idx="0">
                  <c:v>0</c:v>
                </c:pt>
                <c:pt idx="1">
                  <c:v>1.3703703703703705</c:v>
                </c:pt>
                <c:pt idx="2">
                  <c:v>1.4722222222222223</c:v>
                </c:pt>
                <c:pt idx="3">
                  <c:v>0</c:v>
                </c:pt>
                <c:pt idx="4">
                  <c:v>1.0408163265306123</c:v>
                </c:pt>
                <c:pt idx="5">
                  <c:v>1.2068965517241379</c:v>
                </c:pt>
                <c:pt idx="6">
                  <c:v>1.1944444444444444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5551200"/>
        <c:axId val="265551760"/>
      </c:barChart>
      <c:lineChart>
        <c:grouping val="standard"/>
        <c:varyColors val="0"/>
        <c:ser>
          <c:idx val="1"/>
          <c:order val="1"/>
          <c:tx>
            <c:v>平均值</c:v>
          </c:tx>
          <c:spPr>
            <a:ln w="38100">
              <a:prstDash val="dash"/>
            </a:ln>
          </c:spPr>
          <c:marker>
            <c:symbol val="none"/>
          </c:marker>
          <c:val>
            <c:numRef>
              <c:f>財報紅綠燈!$O$32:$V$32</c:f>
              <c:numCache>
                <c:formatCode>0.00_ </c:formatCode>
                <c:ptCount val="8"/>
                <c:pt idx="0">
                  <c:v>0.78559373941147337</c:v>
                </c:pt>
                <c:pt idx="1">
                  <c:v>0.78559373941147337</c:v>
                </c:pt>
                <c:pt idx="2">
                  <c:v>0.78559373941147337</c:v>
                </c:pt>
                <c:pt idx="3">
                  <c:v>0.78559373941147337</c:v>
                </c:pt>
                <c:pt idx="4">
                  <c:v>0.78559373941147337</c:v>
                </c:pt>
                <c:pt idx="5">
                  <c:v>0.78559373941147337</c:v>
                </c:pt>
                <c:pt idx="6">
                  <c:v>0.78559373941147337</c:v>
                </c:pt>
                <c:pt idx="7">
                  <c:v>0.78559373941147337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5551200"/>
        <c:axId val="265551760"/>
      </c:lineChart>
      <c:lineChart>
        <c:grouping val="standard"/>
        <c:varyColors val="0"/>
        <c:ser>
          <c:idx val="2"/>
          <c:order val="2"/>
          <c:tx>
            <c:v>ROE</c:v>
          </c:tx>
          <c:spPr>
            <a:ln w="44450">
              <a:solidFill>
                <a:srgbClr val="FFFF00"/>
              </a:solidFill>
            </a:ln>
          </c:spPr>
          <c:marker>
            <c:symbol val="none"/>
          </c:marker>
          <c:val>
            <c:numRef>
              <c:f>財報紅綠燈!$O$35:$V$35</c:f>
              <c:numCache>
                <c:formatCode>0%</c:formatCode>
                <c:ptCount val="8"/>
                <c:pt idx="1">
                  <c:v>0.13803680981595093</c:v>
                </c:pt>
                <c:pt idx="2">
                  <c:v>0.13803680981595093</c:v>
                </c:pt>
                <c:pt idx="3">
                  <c:v>0.14656822532130159</c:v>
                </c:pt>
                <c:pt idx="4">
                  <c:v>0.14420803782505912</c:v>
                </c:pt>
                <c:pt idx="5">
                  <c:v>0.13521330441070137</c:v>
                </c:pt>
                <c:pt idx="6">
                  <c:v>0.12861072902338377</c:v>
                </c:pt>
                <c:pt idx="7">
                  <c:v>0.15113547376664058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5552880"/>
        <c:axId val="265552320"/>
      </c:lineChart>
      <c:catAx>
        <c:axId val="26555120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265551760"/>
        <c:crosses val="autoZero"/>
        <c:auto val="1"/>
        <c:lblAlgn val="ctr"/>
        <c:lblOffset val="100"/>
        <c:noMultiLvlLbl val="0"/>
      </c:catAx>
      <c:valAx>
        <c:axId val="265551760"/>
        <c:scaling>
          <c:orientation val="minMax"/>
        </c:scaling>
        <c:delete val="0"/>
        <c:axPos val="l"/>
        <c:numFmt formatCode="0.00_ " sourceLinked="1"/>
        <c:majorTickMark val="none"/>
        <c:minorTickMark val="none"/>
        <c:tickLblPos val="nextTo"/>
        <c:crossAx val="265551200"/>
        <c:crosses val="autoZero"/>
        <c:crossBetween val="between"/>
      </c:valAx>
      <c:valAx>
        <c:axId val="265552320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crossAx val="265552880"/>
        <c:crosses val="max"/>
        <c:crossBetween val="between"/>
      </c:valAx>
      <c:catAx>
        <c:axId val="265552880"/>
        <c:scaling>
          <c:orientation val="minMax"/>
        </c:scaling>
        <c:delete val="1"/>
        <c:axPos val="b"/>
        <c:majorTickMark val="out"/>
        <c:minorTickMark val="none"/>
        <c:tickLblPos val="none"/>
        <c:crossAx val="265552320"/>
        <c:crosses val="autoZero"/>
        <c:auto val="1"/>
        <c:lblAlgn val="ctr"/>
        <c:lblOffset val="100"/>
        <c:noMultiLvlLbl val="0"/>
      </c:catAx>
      <c:spPr>
        <a:noFill/>
      </c:spPr>
    </c:plotArea>
    <c:plotVisOnly val="1"/>
    <c:dispBlanksAs val="gap"/>
    <c:showDLblsOverMax val="0"/>
  </c:chart>
  <c:spPr>
    <a:noFill/>
  </c:spPr>
  <c:printSettings>
    <c:headerFooter/>
    <c:pageMargins b="0.75000000000000133" l="0.70000000000000062" r="0.70000000000000062" t="0.75000000000000133" header="0.30000000000000032" footer="0.30000000000000032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415768069762145"/>
          <c:y val="4.6520556015655745E-2"/>
          <c:w val="0.80711982303937546"/>
          <c:h val="0.81522564091420169"/>
        </c:manualLayout>
      </c:layout>
      <c:barChart>
        <c:barDir val="col"/>
        <c:grouping val="clustered"/>
        <c:varyColors val="0"/>
        <c:ser>
          <c:idx val="0"/>
          <c:order val="0"/>
          <c:tx>
            <c:v>資本支出</c:v>
          </c:tx>
          <c:spPr>
            <a:solidFill>
              <a:srgbClr val="3399FF"/>
            </a:solidFill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invertIfNegative val="0"/>
          <c:cat>
            <c:strRef>
              <c:f>財報紅綠燈!$O$2:$V$2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財報紅綠燈!$O$16:$V$16</c:f>
              <c:numCache>
                <c:formatCode>General</c:formatCode>
                <c:ptCount val="8"/>
                <c:pt idx="0">
                  <c:v>4</c:v>
                </c:pt>
                <c:pt idx="1">
                  <c:v>2</c:v>
                </c:pt>
                <c:pt idx="2">
                  <c:v>3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3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5556240"/>
        <c:axId val="265556800"/>
      </c:barChart>
      <c:lineChart>
        <c:grouping val="standard"/>
        <c:varyColors val="0"/>
        <c:ser>
          <c:idx val="1"/>
          <c:order val="1"/>
          <c:tx>
            <c:v>折舊率</c:v>
          </c:tx>
          <c:spPr>
            <a:ln w="44450">
              <a:prstDash val="sysDash"/>
            </a:ln>
          </c:spPr>
          <c:marker>
            <c:symbol val="none"/>
          </c:marker>
          <c:val>
            <c:numRef>
              <c:f>財報紅綠燈!$O$29:$V$29</c:f>
              <c:numCache>
                <c:formatCode>0%</c:formatCode>
                <c:ptCount val="8"/>
                <c:pt idx="0">
                  <c:v>4.6948356807511738E-3</c:v>
                </c:pt>
                <c:pt idx="1">
                  <c:v>4.6948356807511738E-3</c:v>
                </c:pt>
                <c:pt idx="2">
                  <c:v>1.2195121951219513E-2</c:v>
                </c:pt>
                <c:pt idx="3">
                  <c:v>5.235602094240838E-3</c:v>
                </c:pt>
                <c:pt idx="4">
                  <c:v>4.8543689320388345E-3</c:v>
                </c:pt>
                <c:pt idx="5">
                  <c:v>1.1904761904761904E-2</c:v>
                </c:pt>
                <c:pt idx="6">
                  <c:v>1.1049723756906077E-2</c:v>
                </c:pt>
                <c:pt idx="7">
                  <c:v>4.7846889952153108E-3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財報紅綠燈!$N$30</c:f>
              <c:strCache>
                <c:ptCount val="1"/>
                <c:pt idx="0">
                  <c:v>折舊模擬</c:v>
                </c:pt>
              </c:strCache>
            </c:strRef>
          </c:tx>
          <c:spPr>
            <a:ln w="47625">
              <a:solidFill>
                <a:srgbClr val="FF3300"/>
              </a:solidFill>
            </a:ln>
          </c:spPr>
          <c:marker>
            <c:symbol val="none"/>
          </c:marker>
          <c:val>
            <c:numRef>
              <c:f>財報紅綠燈!$O$30:$V$30</c:f>
              <c:numCache>
                <c:formatCode>0%</c:formatCode>
                <c:ptCount val="8"/>
                <c:pt idx="0">
                  <c:v>2.9850746268656716E-2</c:v>
                </c:pt>
                <c:pt idx="1">
                  <c:v>1.1764705882352941E-2</c:v>
                </c:pt>
                <c:pt idx="2">
                  <c:v>1.5384615384615385E-2</c:v>
                </c:pt>
                <c:pt idx="3">
                  <c:v>1.3333333333333334E-2</c:v>
                </c:pt>
                <c:pt idx="4">
                  <c:v>1.1627906976744186E-2</c:v>
                </c:pt>
                <c:pt idx="5">
                  <c:v>1.0416666666666666E-2</c:v>
                </c:pt>
                <c:pt idx="6">
                  <c:v>2.564102564102564E-2</c:v>
                </c:pt>
                <c:pt idx="7">
                  <c:v>1.1904761904761904E-2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5557920"/>
        <c:axId val="265557360"/>
      </c:lineChart>
      <c:catAx>
        <c:axId val="2655562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low"/>
        <c:crossAx val="265556800"/>
        <c:crosses val="autoZero"/>
        <c:auto val="1"/>
        <c:lblAlgn val="ctr"/>
        <c:lblOffset val="100"/>
        <c:noMultiLvlLbl val="0"/>
      </c:catAx>
      <c:valAx>
        <c:axId val="2655568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265556240"/>
        <c:crosses val="autoZero"/>
        <c:crossBetween val="between"/>
      </c:valAx>
      <c:valAx>
        <c:axId val="265557360"/>
        <c:scaling>
          <c:orientation val="minMax"/>
        </c:scaling>
        <c:delete val="0"/>
        <c:axPos val="r"/>
        <c:numFmt formatCode="0%" sourceLinked="1"/>
        <c:majorTickMark val="none"/>
        <c:minorTickMark val="none"/>
        <c:tickLblPos val="nextTo"/>
        <c:crossAx val="265557920"/>
        <c:crosses val="max"/>
        <c:crossBetween val="between"/>
      </c:valAx>
      <c:catAx>
        <c:axId val="265557920"/>
        <c:scaling>
          <c:orientation val="minMax"/>
        </c:scaling>
        <c:delete val="1"/>
        <c:axPos val="b"/>
        <c:majorTickMark val="out"/>
        <c:minorTickMark val="none"/>
        <c:tickLblPos val="none"/>
        <c:crossAx val="265557360"/>
        <c:crosses val="autoZero"/>
        <c:auto val="1"/>
        <c:lblAlgn val="ctr"/>
        <c:lblOffset val="100"/>
        <c:noMultiLvlLbl val="0"/>
      </c:catAx>
      <c:spPr>
        <a:noFill/>
      </c:spPr>
    </c:plotArea>
    <c:plotVisOnly val="1"/>
    <c:dispBlanksAs val="gap"/>
    <c:showDLblsOverMax val="0"/>
  </c:chart>
  <c:spPr>
    <a:noFill/>
  </c:spPr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545272474186108E-2"/>
          <c:y val="3.608761782569557E-2"/>
          <c:w val="0.80832373440027461"/>
          <c:h val="0.8152257152710680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財報紅綠燈!$N$9</c:f>
              <c:strCache>
                <c:ptCount val="1"/>
                <c:pt idx="0">
                  <c:v>每股盈餘 (元)</c:v>
                </c:pt>
              </c:strCache>
            </c:strRef>
          </c:tx>
          <c:spPr>
            <a:solidFill>
              <a:srgbClr val="FF33CC"/>
            </a:solidFill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invertIfNegative val="0"/>
          <c:dLbls>
            <c:dLbl>
              <c:idx val="7"/>
              <c:layout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/>
                </a:pPr>
                <a:endParaRPr lang="zh-TW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財報紅綠燈!$O$2:$V$2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財報紅綠燈!$O$9:$V$9</c:f>
              <c:numCache>
                <c:formatCode>General</c:formatCode>
                <c:ptCount val="8"/>
                <c:pt idx="0">
                  <c:v>1.32</c:v>
                </c:pt>
                <c:pt idx="1">
                  <c:v>2.11</c:v>
                </c:pt>
                <c:pt idx="2">
                  <c:v>1.39</c:v>
                </c:pt>
                <c:pt idx="3">
                  <c:v>1.7</c:v>
                </c:pt>
                <c:pt idx="4">
                  <c:v>1.89</c:v>
                </c:pt>
                <c:pt idx="5">
                  <c:v>2.2599999999999998</c:v>
                </c:pt>
                <c:pt idx="6">
                  <c:v>1.42</c:v>
                </c:pt>
                <c:pt idx="7">
                  <c:v>1.94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5561280"/>
        <c:axId val="265561840"/>
      </c:barChart>
      <c:lineChart>
        <c:grouping val="standard"/>
        <c:varyColors val="0"/>
        <c:ser>
          <c:idx val="1"/>
          <c:order val="1"/>
          <c:tx>
            <c:strRef>
              <c:f>財報紅綠燈!$N$34</c:f>
              <c:strCache>
                <c:ptCount val="1"/>
                <c:pt idx="0">
                  <c:v>本業比率</c:v>
                </c:pt>
              </c:strCache>
            </c:strRef>
          </c:tx>
          <c:spPr>
            <a:ln w="44450"/>
          </c:spPr>
          <c:marker>
            <c:symbol val="none"/>
          </c:marker>
          <c:val>
            <c:numRef>
              <c:f>財報紅綠燈!$O$34:$V$34</c:f>
              <c:numCache>
                <c:formatCode>0%</c:formatCode>
                <c:ptCount val="8"/>
                <c:pt idx="0">
                  <c:v>0.92682926829268297</c:v>
                </c:pt>
                <c:pt idx="1">
                  <c:v>0.92307692307692313</c:v>
                </c:pt>
                <c:pt idx="2">
                  <c:v>0.90697674418604646</c:v>
                </c:pt>
                <c:pt idx="3">
                  <c:v>0.96363636363636362</c:v>
                </c:pt>
                <c:pt idx="4">
                  <c:v>0.96610169491525422</c:v>
                </c:pt>
                <c:pt idx="5">
                  <c:v>0.98550724637681164</c:v>
                </c:pt>
                <c:pt idx="6">
                  <c:v>0.93181818181818177</c:v>
                </c:pt>
                <c:pt idx="7">
                  <c:v>1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5562960"/>
        <c:axId val="265562400"/>
      </c:lineChart>
      <c:catAx>
        <c:axId val="26556128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low"/>
        <c:crossAx val="265561840"/>
        <c:crosses val="autoZero"/>
        <c:auto val="1"/>
        <c:lblAlgn val="ctr"/>
        <c:lblOffset val="100"/>
        <c:noMultiLvlLbl val="0"/>
      </c:catAx>
      <c:valAx>
        <c:axId val="2655618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265561280"/>
        <c:crosses val="autoZero"/>
        <c:crossBetween val="between"/>
      </c:valAx>
      <c:valAx>
        <c:axId val="265562400"/>
        <c:scaling>
          <c:orientation val="minMax"/>
        </c:scaling>
        <c:delete val="0"/>
        <c:axPos val="r"/>
        <c:numFmt formatCode="0%" sourceLinked="1"/>
        <c:majorTickMark val="none"/>
        <c:minorTickMark val="none"/>
        <c:tickLblPos val="nextTo"/>
        <c:crossAx val="265562960"/>
        <c:crosses val="max"/>
        <c:crossBetween val="between"/>
      </c:valAx>
      <c:catAx>
        <c:axId val="265562960"/>
        <c:scaling>
          <c:orientation val="minMax"/>
        </c:scaling>
        <c:delete val="1"/>
        <c:axPos val="b"/>
        <c:majorTickMark val="out"/>
        <c:minorTickMark val="none"/>
        <c:tickLblPos val="none"/>
        <c:crossAx val="265562400"/>
        <c:crosses val="autoZero"/>
        <c:auto val="1"/>
        <c:lblAlgn val="ctr"/>
        <c:lblOffset val="100"/>
        <c:noMultiLvlLbl val="0"/>
      </c:catAx>
      <c:spPr>
        <a:noFill/>
      </c:spPr>
    </c:plotArea>
    <c:plotVisOnly val="1"/>
    <c:dispBlanksAs val="gap"/>
    <c:showDLblsOverMax val="0"/>
  </c:chart>
  <c:spPr>
    <a:noFill/>
  </c:spPr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zh-TW" altLang="en-US">
                <a:solidFill>
                  <a:schemeClr val="tx1"/>
                </a:solidFill>
              </a:rPr>
              <a:t> 固定資產</a:t>
            </a:r>
            <a:r>
              <a:rPr lang="en-US" altLang="zh-TW">
                <a:solidFill>
                  <a:schemeClr val="tx1"/>
                </a:solidFill>
              </a:rPr>
              <a:t>(</a:t>
            </a:r>
            <a:r>
              <a:rPr lang="zh-TW" altLang="en-US">
                <a:solidFill>
                  <a:schemeClr val="tx1"/>
                </a:solidFill>
              </a:rPr>
              <a:t>購置</a:t>
            </a:r>
            <a:r>
              <a:rPr lang="en-US" altLang="zh-TW">
                <a:solidFill>
                  <a:schemeClr val="tx1"/>
                </a:solidFill>
              </a:rPr>
              <a:t>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>
        <c:manualLayout>
          <c:layoutTarget val="inner"/>
          <c:xMode val="edge"/>
          <c:yMode val="edge"/>
          <c:x val="5.1113118437149281E-3"/>
          <c:y val="0.10552142644975265"/>
          <c:w val="0.98772179724462916"/>
          <c:h val="0.78942632108790067"/>
        </c:manualLayout>
      </c:layout>
      <c:barChart>
        <c:barDir val="col"/>
        <c:grouping val="clustered"/>
        <c:varyColors val="0"/>
        <c:ser>
          <c:idx val="0"/>
          <c:order val="0"/>
          <c:tx>
            <c:v>營業外收入合計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val>
            <c:numRef>
              <c:f>財報紅綠燈!$O$16:$R$16</c:f>
              <c:numCache>
                <c:formatCode>General</c:formatCode>
                <c:ptCount val="4"/>
                <c:pt idx="0">
                  <c:v>4</c:v>
                </c:pt>
                <c:pt idx="1">
                  <c:v>2</c:v>
                </c:pt>
                <c:pt idx="2">
                  <c:v>3</c:v>
                </c:pt>
                <c:pt idx="3">
                  <c:v>1</c:v>
                </c:pt>
              </c:numCache>
            </c:numRef>
          </c:val>
        </c:ser>
        <c:ser>
          <c:idx val="1"/>
          <c:order val="1"/>
          <c:tx>
            <c:v> 應付帳款及票據</c:v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val>
            <c:numRef>
              <c:f>財報紅綠燈!$S$16:$V$16</c:f>
              <c:numCache>
                <c:formatCode>General</c:formatCode>
                <c:ptCount val="4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65566320"/>
        <c:axId val="265566880"/>
      </c:barChart>
      <c:catAx>
        <c:axId val="265566320"/>
        <c:scaling>
          <c:orientation val="minMax"/>
        </c:scaling>
        <c:delete val="1"/>
        <c:axPos val="b"/>
        <c:majorTickMark val="none"/>
        <c:minorTickMark val="none"/>
        <c:tickLblPos val="nextTo"/>
        <c:crossAx val="265566880"/>
        <c:crosses val="autoZero"/>
        <c:auto val="1"/>
        <c:lblAlgn val="ctr"/>
        <c:lblOffset val="100"/>
        <c:noMultiLvlLbl val="0"/>
      </c:catAx>
      <c:valAx>
        <c:axId val="26556688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65566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20000"/>
        <a:lumOff val="80000"/>
      </a:schemeClr>
    </a:solidFill>
    <a:ln w="1905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zh-TW" altLang="en-US" sz="1600" b="1">
                <a:solidFill>
                  <a:schemeClr val="tx1"/>
                </a:solidFill>
              </a:rPr>
              <a:t>營運天數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>
        <c:manualLayout>
          <c:layoutTarget val="inner"/>
          <c:xMode val="edge"/>
          <c:yMode val="edge"/>
          <c:x val="8.8065225125771845E-3"/>
          <c:y val="0.1350139711628823"/>
          <c:w val="0.99119338048845584"/>
          <c:h val="0.73987396639293546"/>
        </c:manualLayout>
      </c:layout>
      <c:lineChart>
        <c:grouping val="standard"/>
        <c:varyColors val="0"/>
        <c:ser>
          <c:idx val="0"/>
          <c:order val="0"/>
          <c:tx>
            <c:strRef>
              <c:f>財報紅綠燈!$N$3</c:f>
              <c:strCache>
                <c:ptCount val="1"/>
                <c:pt idx="0">
                  <c:v>營業收入淨額</c:v>
                </c:pt>
              </c:strCache>
            </c:strRef>
          </c:tx>
          <c:spPr>
            <a:ln w="317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財報紅綠燈!$O$27:$R$27</c:f>
              <c:numCache>
                <c:formatCode>General</c:formatCode>
                <c:ptCount val="4"/>
                <c:pt idx="0">
                  <c:v>123.29360465116279</c:v>
                </c:pt>
                <c:pt idx="1">
                  <c:v>123.29360465116279</c:v>
                </c:pt>
                <c:pt idx="2">
                  <c:v>170.47956730769232</c:v>
                </c:pt>
                <c:pt idx="3">
                  <c:v>148.423828125</c:v>
                </c:pt>
              </c:numCache>
            </c:numRef>
          </c:val>
          <c:smooth val="0"/>
        </c:ser>
        <c:ser>
          <c:idx val="1"/>
          <c:order val="1"/>
          <c:spPr>
            <a:ln w="317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財報紅綠燈!$S$27:$V$27</c:f>
              <c:numCache>
                <c:formatCode>General</c:formatCode>
                <c:ptCount val="4"/>
                <c:pt idx="0">
                  <c:v>137.15828911718222</c:v>
                </c:pt>
                <c:pt idx="1">
                  <c:v>123.80842464826839</c:v>
                </c:pt>
                <c:pt idx="2">
                  <c:v>154.34678093645485</c:v>
                </c:pt>
                <c:pt idx="3">
                  <c:v>138.69677745500115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5569680"/>
        <c:axId val="265570240"/>
      </c:lineChart>
      <c:catAx>
        <c:axId val="265569680"/>
        <c:scaling>
          <c:orientation val="minMax"/>
        </c:scaling>
        <c:delete val="1"/>
        <c:axPos val="b"/>
        <c:majorTickMark val="none"/>
        <c:minorTickMark val="none"/>
        <c:tickLblPos val="nextTo"/>
        <c:crossAx val="265570240"/>
        <c:crosses val="autoZero"/>
        <c:auto val="1"/>
        <c:lblAlgn val="ctr"/>
        <c:lblOffset val="100"/>
        <c:noMultiLvlLbl val="0"/>
      </c:catAx>
      <c:valAx>
        <c:axId val="26557024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65569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20000"/>
        <a:lumOff val="80000"/>
      </a:schemeClr>
    </a:solidFill>
    <a:ln w="1905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6394534016581259E-2"/>
          <c:y val="5.4652457235949387E-2"/>
          <c:w val="0.91360551956625413"/>
          <c:h val="0.82214272784867404"/>
        </c:manualLayout>
      </c:layout>
      <c:barChart>
        <c:barDir val="col"/>
        <c:grouping val="clustered"/>
        <c:varyColors val="0"/>
        <c:ser>
          <c:idx val="0"/>
          <c:order val="3"/>
          <c:tx>
            <c:strRef>
              <c:f>PK!$A$26:$B$26</c:f>
              <c:strCache>
                <c:ptCount val="2"/>
                <c:pt idx="0">
                  <c:v>3706</c:v>
                </c:pt>
                <c:pt idx="1">
                  <c:v>來自營運之現金流量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PK!$C$26:$J$26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327</c:v>
                </c:pt>
                <c:pt idx="3">
                  <c:v>-918</c:v>
                </c:pt>
                <c:pt idx="4">
                  <c:v>1221</c:v>
                </c:pt>
                <c:pt idx="5">
                  <c:v>-104</c:v>
                </c:pt>
                <c:pt idx="6">
                  <c:v>-569</c:v>
                </c:pt>
                <c:pt idx="7">
                  <c:v>-1062</c:v>
                </c:pt>
              </c:numCache>
            </c:numRef>
          </c:val>
        </c:ser>
        <c:ser>
          <c:idx val="1"/>
          <c:order val="4"/>
          <c:tx>
            <c:strRef>
              <c:f>PK!$A$27:$B$27</c:f>
              <c:strCache>
                <c:ptCount val="2"/>
                <c:pt idx="0">
                  <c:v>3499</c:v>
                </c:pt>
                <c:pt idx="1">
                  <c:v>來自營運之現金流量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PK!$C$27:$J$27</c:f>
              <c:numCache>
                <c:formatCode>General</c:formatCode>
                <c:ptCount val="8"/>
                <c:pt idx="0">
                  <c:v>5</c:v>
                </c:pt>
                <c:pt idx="1">
                  <c:v>19</c:v>
                </c:pt>
                <c:pt idx="2">
                  <c:v>-6</c:v>
                </c:pt>
                <c:pt idx="3">
                  <c:v>19</c:v>
                </c:pt>
                <c:pt idx="4">
                  <c:v>-21</c:v>
                </c:pt>
                <c:pt idx="5">
                  <c:v>10</c:v>
                </c:pt>
                <c:pt idx="6">
                  <c:v>13</c:v>
                </c:pt>
                <c:pt idx="7">
                  <c:v>1</c:v>
                </c:pt>
              </c:numCache>
            </c:numRef>
          </c:val>
        </c:ser>
        <c:ser>
          <c:idx val="2"/>
          <c:order val="5"/>
          <c:tx>
            <c:strRef>
              <c:f>PK!$A$28:$B$28</c:f>
              <c:strCache>
                <c:ptCount val="2"/>
                <c:pt idx="0">
                  <c:v>3306</c:v>
                </c:pt>
                <c:pt idx="1">
                  <c:v>來自營運之現金流量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PK!$C$28:$J$28</c:f>
              <c:numCache>
                <c:formatCode>General</c:formatCode>
                <c:ptCount val="8"/>
                <c:pt idx="0">
                  <c:v>56</c:v>
                </c:pt>
                <c:pt idx="1">
                  <c:v>13</c:v>
                </c:pt>
                <c:pt idx="2">
                  <c:v>96</c:v>
                </c:pt>
                <c:pt idx="3">
                  <c:v>-85</c:v>
                </c:pt>
                <c:pt idx="4">
                  <c:v>58</c:v>
                </c:pt>
                <c:pt idx="5">
                  <c:v>80</c:v>
                </c:pt>
                <c:pt idx="6">
                  <c:v>114</c:v>
                </c:pt>
                <c:pt idx="7">
                  <c:v>-69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8"/>
        <c:overlap val="38"/>
        <c:axId val="265575840"/>
        <c:axId val="265576400"/>
      </c:barChart>
      <c:lineChart>
        <c:grouping val="standard"/>
        <c:varyColors val="0"/>
        <c:ser>
          <c:idx val="3"/>
          <c:order val="0"/>
          <c:tx>
            <c:strRef>
              <c:f>PK!$A$53:$B$53</c:f>
              <c:strCache>
                <c:ptCount val="2"/>
                <c:pt idx="0">
                  <c:v>3706</c:v>
                </c:pt>
                <c:pt idx="1">
                  <c:v> 負債比 </c:v>
                </c:pt>
              </c:strCache>
            </c:strRef>
          </c:tx>
          <c:spPr>
            <a:ln>
              <a:solidFill>
                <a:srgbClr val="33CCFF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PK!$C$53:$J$53</c:f>
              <c:numCache>
                <c:formatCode>General</c:formatCode>
                <c:ptCount val="8"/>
                <c:pt idx="0">
                  <c:v>0</c:v>
                </c:pt>
                <c:pt idx="1">
                  <c:v>0.30869757998646474</c:v>
                </c:pt>
                <c:pt idx="2">
                  <c:v>0.30732260258444799</c:v>
                </c:pt>
                <c:pt idx="3">
                  <c:v>0.28790565907363475</c:v>
                </c:pt>
                <c:pt idx="4">
                  <c:v>0.34137842023748066</c:v>
                </c:pt>
                <c:pt idx="5">
                  <c:v>0.33214775454233803</c:v>
                </c:pt>
                <c:pt idx="6">
                  <c:v>0.33300141067131356</c:v>
                </c:pt>
                <c:pt idx="7">
                  <c:v>0.36821349784276597</c:v>
                </c:pt>
              </c:numCache>
            </c:numRef>
          </c:val>
          <c:smooth val="1"/>
        </c:ser>
        <c:ser>
          <c:idx val="4"/>
          <c:order val="1"/>
          <c:tx>
            <c:strRef>
              <c:f>PK!$A$54:$B$54</c:f>
              <c:strCache>
                <c:ptCount val="2"/>
                <c:pt idx="0">
                  <c:v>3499</c:v>
                </c:pt>
                <c:pt idx="1">
                  <c:v> 負債比 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PK!$C$54:$J$54</c:f>
              <c:numCache>
                <c:formatCode>General</c:formatCode>
                <c:ptCount val="8"/>
                <c:pt idx="0">
                  <c:v>0.3489177489177489</c:v>
                </c:pt>
                <c:pt idx="1">
                  <c:v>0.31918997107039537</c:v>
                </c:pt>
                <c:pt idx="2">
                  <c:v>0.33731343283582088</c:v>
                </c:pt>
                <c:pt idx="3">
                  <c:v>0.29314159292035397</c:v>
                </c:pt>
                <c:pt idx="4">
                  <c:v>0.30405405405405406</c:v>
                </c:pt>
                <c:pt idx="5">
                  <c:v>0.29438202247191009</c:v>
                </c:pt>
                <c:pt idx="6">
                  <c:v>0.27064220183486237</c:v>
                </c:pt>
                <c:pt idx="7">
                  <c:v>0.26162790697674421</c:v>
                </c:pt>
              </c:numCache>
            </c:numRef>
          </c:val>
          <c:smooth val="1"/>
        </c:ser>
        <c:ser>
          <c:idx val="5"/>
          <c:order val="2"/>
          <c:tx>
            <c:strRef>
              <c:f>PK!$A$55:$B$55</c:f>
              <c:strCache>
                <c:ptCount val="2"/>
                <c:pt idx="0">
                  <c:v>3306</c:v>
                </c:pt>
                <c:pt idx="1">
                  <c:v> 負債比 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PK!$C$55:$J$55</c:f>
              <c:numCache>
                <c:formatCode>General</c:formatCode>
                <c:ptCount val="8"/>
                <c:pt idx="0">
                  <c:v>0.18590108015918136</c:v>
                </c:pt>
                <c:pt idx="1">
                  <c:v>0.20066152149944874</c:v>
                </c:pt>
                <c:pt idx="2">
                  <c:v>0.19561815336463223</c:v>
                </c:pt>
                <c:pt idx="3">
                  <c:v>0.13451511991657977</c:v>
                </c:pt>
                <c:pt idx="4">
                  <c:v>0.18172740888666999</c:v>
                </c:pt>
                <c:pt idx="5">
                  <c:v>0.16850393700787403</c:v>
                </c:pt>
                <c:pt idx="6">
                  <c:v>0.14581124072110285</c:v>
                </c:pt>
                <c:pt idx="7">
                  <c:v>0.13609145345672291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3757280"/>
        <c:axId val="265576960"/>
      </c:lineChart>
      <c:dateAx>
        <c:axId val="26557584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265576400"/>
        <c:crosses val="autoZero"/>
        <c:auto val="0"/>
        <c:lblOffset val="100"/>
        <c:baseTimeUnit val="days"/>
      </c:dateAx>
      <c:valAx>
        <c:axId val="265576400"/>
        <c:scaling>
          <c:orientation val="minMax"/>
          <c:max val="1438.01"/>
          <c:min val="-213.01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265575840"/>
        <c:crosses val="autoZero"/>
        <c:crossBetween val="between"/>
      </c:valAx>
      <c:valAx>
        <c:axId val="265576960"/>
        <c:scaling>
          <c:orientation val="minMax"/>
        </c:scaling>
        <c:delete val="0"/>
        <c:axPos val="r"/>
        <c:numFmt formatCode="0%" sourceLinked="0"/>
        <c:majorTickMark val="out"/>
        <c:minorTickMark val="none"/>
        <c:tickLblPos val="nextTo"/>
        <c:crossAx val="263757280"/>
        <c:crosses val="max"/>
        <c:crossBetween val="between"/>
      </c:valAx>
      <c:dateAx>
        <c:axId val="263757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65576960"/>
        <c:crosses val="autoZero"/>
        <c:auto val="0"/>
        <c:lblOffset val="100"/>
        <c:baseTimeUnit val="days"/>
      </c:dateAx>
      <c:spPr>
        <a:noFill/>
      </c:spPr>
    </c:plotArea>
    <c:plotVisOnly val="1"/>
    <c:dispBlanksAs val="gap"/>
    <c:showDLblsOverMax val="0"/>
  </c:chart>
  <c:spPr>
    <a:noFill/>
    <a:ln w="19050"/>
  </c:spPr>
  <c:txPr>
    <a:bodyPr/>
    <a:lstStyle/>
    <a:p>
      <a:pPr>
        <a:defRPr>
          <a:solidFill>
            <a:schemeClr val="bg1"/>
          </a:solidFill>
        </a:defRPr>
      </a:pPr>
      <a:endParaRPr lang="zh-TW"/>
    </a:p>
  </c:txPr>
  <c:printSettings>
    <c:headerFooter/>
    <c:pageMargins b="0.7500000000000121" l="0.70000000000000062" r="0.70000000000000062" t="0.7500000000000121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7736598370232052E-2"/>
          <c:y val="7.6339457567804025E-2"/>
          <c:w val="0.91226332455746539"/>
          <c:h val="0.76162697844589311"/>
        </c:manualLayout>
      </c:layout>
      <c:lineChart>
        <c:grouping val="standard"/>
        <c:varyColors val="0"/>
        <c:ser>
          <c:idx val="0"/>
          <c:order val="0"/>
          <c:tx>
            <c:strRef>
              <c:f>PK!$A$47:$B$47</c:f>
              <c:strCache>
                <c:ptCount val="2"/>
                <c:pt idx="0">
                  <c:v>3706</c:v>
                </c:pt>
                <c:pt idx="1">
                  <c:v> 應收週轉天數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PK!$C$47:$J$47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49.120842735210438</c:v>
                </c:pt>
                <c:pt idx="3">
                  <c:v>60.951435462995647</c:v>
                </c:pt>
                <c:pt idx="4">
                  <c:v>45.139421030225627</c:v>
                </c:pt>
                <c:pt idx="5">
                  <c:v>56.134873360696766</c:v>
                </c:pt>
                <c:pt idx="6">
                  <c:v>52.480130210535215</c:v>
                </c:pt>
                <c:pt idx="7">
                  <c:v>59.631541672879088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PK!$A$48:$B$48</c:f>
              <c:strCache>
                <c:ptCount val="2"/>
                <c:pt idx="0">
                  <c:v>3499</c:v>
                </c:pt>
                <c:pt idx="1">
                  <c:v> 應收週轉天數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PK!$C$48:$J$48</c:f>
              <c:numCache>
                <c:formatCode>General</c:formatCode>
                <c:ptCount val="8"/>
                <c:pt idx="0">
                  <c:v>69.089285714285722</c:v>
                </c:pt>
                <c:pt idx="1">
                  <c:v>69.089285714285722</c:v>
                </c:pt>
                <c:pt idx="2">
                  <c:v>48.555045871559628</c:v>
                </c:pt>
                <c:pt idx="3">
                  <c:v>50.632621951219512</c:v>
                </c:pt>
                <c:pt idx="4">
                  <c:v>41.518749999999997</c:v>
                </c:pt>
                <c:pt idx="5">
                  <c:v>41.961678832116789</c:v>
                </c:pt>
                <c:pt idx="6">
                  <c:v>53.090909090909093</c:v>
                </c:pt>
                <c:pt idx="7">
                  <c:v>44.917635658914733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PK!$A$49:$B$49</c:f>
              <c:strCache>
                <c:ptCount val="2"/>
                <c:pt idx="0">
                  <c:v>3306</c:v>
                </c:pt>
                <c:pt idx="1">
                  <c:v> 應收週轉天數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PK!$C$49:$J$49</c:f>
              <c:numCache>
                <c:formatCode>General</c:formatCode>
                <c:ptCount val="8"/>
                <c:pt idx="0">
                  <c:v>37.450060532687651</c:v>
                </c:pt>
                <c:pt idx="1">
                  <c:v>37.450060532687651</c:v>
                </c:pt>
                <c:pt idx="2">
                  <c:v>36.364957716701902</c:v>
                </c:pt>
                <c:pt idx="3">
                  <c:v>35.867846385542165</c:v>
                </c:pt>
                <c:pt idx="4">
                  <c:v>33.41549295774648</c:v>
                </c:pt>
                <c:pt idx="5">
                  <c:v>28.244047619047617</c:v>
                </c:pt>
                <c:pt idx="6">
                  <c:v>28.515625</c:v>
                </c:pt>
                <c:pt idx="7">
                  <c:v>29.782986111111111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3761200"/>
        <c:axId val="263761760"/>
      </c:lineChart>
      <c:catAx>
        <c:axId val="26376120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263761760"/>
        <c:crosses val="autoZero"/>
        <c:auto val="1"/>
        <c:lblAlgn val="ctr"/>
        <c:lblOffset val="100"/>
        <c:noMultiLvlLbl val="0"/>
      </c:catAx>
      <c:valAx>
        <c:axId val="263761760"/>
        <c:scaling>
          <c:orientation val="minMax"/>
          <c:max val="72.543750000000017"/>
          <c:min val="0"/>
        </c:scaling>
        <c:delete val="0"/>
        <c:axPos val="l"/>
        <c:numFmt formatCode="#,##0_);[Red]\(#,##0\)" sourceLinked="0"/>
        <c:majorTickMark val="none"/>
        <c:minorTickMark val="none"/>
        <c:tickLblPos val="nextTo"/>
        <c:spPr>
          <a:ln>
            <a:noFill/>
            <a:prstDash val="sysDash"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263761200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 w="19050"/>
  </c:spPr>
  <c:txPr>
    <a:bodyPr/>
    <a:lstStyle/>
    <a:p>
      <a:pPr>
        <a:defRPr>
          <a:solidFill>
            <a:schemeClr val="bg1"/>
          </a:solidFill>
        </a:defRPr>
      </a:pPr>
      <a:endParaRPr lang="zh-TW"/>
    </a:p>
  </c:txPr>
  <c:printSettings>
    <c:headerFooter/>
    <c:pageMargins b="0.75000000000001166" l="0.70000000000000062" r="0.70000000000000062" t="0.75000000000001166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7736598370232136E-2"/>
          <c:y val="7.6339457567804025E-2"/>
          <c:w val="0.91226344792658953"/>
          <c:h val="0.76162697844589355"/>
        </c:manualLayout>
      </c:layout>
      <c:lineChart>
        <c:grouping val="standard"/>
        <c:varyColors val="0"/>
        <c:ser>
          <c:idx val="0"/>
          <c:order val="0"/>
          <c:tx>
            <c:strRef>
              <c:f>PK!$A$50:$B$50</c:f>
              <c:strCache>
                <c:ptCount val="2"/>
                <c:pt idx="0">
                  <c:v>3706</c:v>
                </c:pt>
                <c:pt idx="1">
                  <c:v> 存貨 週轉天數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PK!$C$50:$J$50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69.826177920440216</c:v>
                </c:pt>
                <c:pt idx="3">
                  <c:v>83.248461012311907</c:v>
                </c:pt>
                <c:pt idx="4">
                  <c:v>58.505557741491245</c:v>
                </c:pt>
                <c:pt idx="5">
                  <c:v>72.007233796296291</c:v>
                </c:pt>
                <c:pt idx="6">
                  <c:v>65.071648276535484</c:v>
                </c:pt>
                <c:pt idx="7">
                  <c:v>60.916285558445921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3765680"/>
        <c:axId val="263766240"/>
      </c:lineChart>
      <c:lineChart>
        <c:grouping val="standard"/>
        <c:varyColors val="0"/>
        <c:ser>
          <c:idx val="1"/>
          <c:order val="1"/>
          <c:tx>
            <c:strRef>
              <c:f>PK!$A$51:$B$51</c:f>
              <c:strCache>
                <c:ptCount val="2"/>
                <c:pt idx="0">
                  <c:v>3499</c:v>
                </c:pt>
                <c:pt idx="1">
                  <c:v> 存貨 週轉天數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val>
            <c:numRef>
              <c:f>PK!$C$51:$J$51</c:f>
              <c:numCache>
                <c:formatCode>General</c:formatCode>
                <c:ptCount val="8"/>
                <c:pt idx="0">
                  <c:v>170.10802469135803</c:v>
                </c:pt>
                <c:pt idx="1">
                  <c:v>170.10802469135803</c:v>
                </c:pt>
                <c:pt idx="2">
                  <c:v>156.8359375</c:v>
                </c:pt>
                <c:pt idx="3">
                  <c:v>160.33928571428572</c:v>
                </c:pt>
                <c:pt idx="4">
                  <c:v>154.375</c:v>
                </c:pt>
                <c:pt idx="5">
                  <c:v>117.97979797979798</c:v>
                </c:pt>
                <c:pt idx="6">
                  <c:v>124.81321839080461</c:v>
                </c:pt>
                <c:pt idx="7">
                  <c:v>108.2967032967033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PK!$A$52:$B$52</c:f>
              <c:strCache>
                <c:ptCount val="2"/>
                <c:pt idx="0">
                  <c:v>3306</c:v>
                </c:pt>
                <c:pt idx="1">
                  <c:v> 存貨 週轉天數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val>
            <c:numRef>
              <c:f>PK!$C$52:$J$52</c:f>
              <c:numCache>
                <c:formatCode>General</c:formatCode>
                <c:ptCount val="8"/>
                <c:pt idx="0">
                  <c:v>22.387422360248443</c:v>
                </c:pt>
                <c:pt idx="1">
                  <c:v>22.387422360248443</c:v>
                </c:pt>
                <c:pt idx="2">
                  <c:v>21.769642857142859</c:v>
                </c:pt>
                <c:pt idx="3">
                  <c:v>30.59558823529412</c:v>
                </c:pt>
                <c:pt idx="4">
                  <c:v>39.974197247706421</c:v>
                </c:pt>
                <c:pt idx="5">
                  <c:v>31.893203883495143</c:v>
                </c:pt>
                <c:pt idx="6">
                  <c:v>29.995674740484429</c:v>
                </c:pt>
                <c:pt idx="7">
                  <c:v>33.458333333333336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3767360"/>
        <c:axId val="263766800"/>
      </c:lineChart>
      <c:catAx>
        <c:axId val="26376568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263766240"/>
        <c:crosses val="autoZero"/>
        <c:auto val="1"/>
        <c:lblAlgn val="ctr"/>
        <c:lblOffset val="100"/>
        <c:noMultiLvlLbl val="0"/>
      </c:catAx>
      <c:valAx>
        <c:axId val="263766240"/>
        <c:scaling>
          <c:orientation val="minMax"/>
          <c:max val="178.61342592592592"/>
          <c:min val="0"/>
        </c:scaling>
        <c:delete val="0"/>
        <c:axPos val="l"/>
        <c:numFmt formatCode="#,##0_);[Red]\(#,##0\)" sourceLinked="0"/>
        <c:majorTickMark val="none"/>
        <c:minorTickMark val="none"/>
        <c:tickLblPos val="nextTo"/>
        <c:spPr>
          <a:ln>
            <a:noFill/>
            <a:prstDash val="sysDash"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263765680"/>
        <c:crosses val="autoZero"/>
        <c:crossBetween val="between"/>
      </c:valAx>
      <c:valAx>
        <c:axId val="263766800"/>
        <c:scaling>
          <c:orientation val="minMax"/>
          <c:max val="207.28196625636673"/>
          <c:min val="42.642944634982847"/>
        </c:scaling>
        <c:delete val="1"/>
        <c:axPos val="r"/>
        <c:numFmt formatCode="General" sourceLinked="1"/>
        <c:majorTickMark val="in"/>
        <c:minorTickMark val="none"/>
        <c:tickLblPos val="none"/>
        <c:crossAx val="263767360"/>
        <c:crosses val="max"/>
        <c:crossBetween val="between"/>
      </c:valAx>
      <c:catAx>
        <c:axId val="263767360"/>
        <c:scaling>
          <c:orientation val="minMax"/>
        </c:scaling>
        <c:delete val="1"/>
        <c:axPos val="b"/>
        <c:majorTickMark val="out"/>
        <c:minorTickMark val="none"/>
        <c:tickLblPos val="none"/>
        <c:crossAx val="263766800"/>
        <c:crosses val="autoZero"/>
        <c:auto val="1"/>
        <c:lblAlgn val="ctr"/>
        <c:lblOffset val="100"/>
        <c:noMultiLvlLbl val="0"/>
      </c:catAx>
      <c:spPr>
        <a:noFill/>
        <a:ln>
          <a:noFill/>
        </a:ln>
      </c:spPr>
    </c:plotArea>
    <c:plotVisOnly val="1"/>
    <c:dispBlanksAs val="gap"/>
    <c:showDLblsOverMax val="0"/>
  </c:chart>
  <c:spPr>
    <a:noFill/>
    <a:ln w="19050"/>
  </c:spPr>
  <c:printSettings>
    <c:headerFooter/>
    <c:pageMargins b="0.75000000000001188" l="0.70000000000000062" r="0.70000000000000062" t="0.75000000000001188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672283870191789E-2"/>
          <c:y val="7.6339369684488997E-2"/>
          <c:w val="0.81557801037599265"/>
          <c:h val="0.76162697844589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PK!$A$11:$B$11</c:f>
              <c:strCache>
                <c:ptCount val="2"/>
                <c:pt idx="0">
                  <c:v>3706</c:v>
                </c:pt>
                <c:pt idx="1">
                  <c:v>每股盈餘 (元)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PK!$C$11:$J$11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0.68</c:v>
                </c:pt>
                <c:pt idx="3">
                  <c:v>-0.05</c:v>
                </c:pt>
                <c:pt idx="4">
                  <c:v>0.42</c:v>
                </c:pt>
                <c:pt idx="5">
                  <c:v>0.28999999999999998</c:v>
                </c:pt>
                <c:pt idx="6">
                  <c:v>0.36</c:v>
                </c:pt>
                <c:pt idx="7">
                  <c:v>0.57999999999999996</c:v>
                </c:pt>
              </c:numCache>
            </c:numRef>
          </c:val>
        </c:ser>
        <c:ser>
          <c:idx val="1"/>
          <c:order val="1"/>
          <c:tx>
            <c:strRef>
              <c:f>PK!$A$12:$B$12</c:f>
              <c:strCache>
                <c:ptCount val="2"/>
                <c:pt idx="0">
                  <c:v>3499</c:v>
                </c:pt>
                <c:pt idx="1">
                  <c:v>每股盈餘 (元)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PK!$C$12:$J$12</c:f>
              <c:numCache>
                <c:formatCode>General</c:formatCode>
                <c:ptCount val="8"/>
                <c:pt idx="0">
                  <c:v>-0.15</c:v>
                </c:pt>
                <c:pt idx="1">
                  <c:v>-0.81</c:v>
                </c:pt>
                <c:pt idx="2">
                  <c:v>-0.76</c:v>
                </c:pt>
                <c:pt idx="3">
                  <c:v>-0.52</c:v>
                </c:pt>
                <c:pt idx="4">
                  <c:v>-0.26</c:v>
                </c:pt>
                <c:pt idx="5">
                  <c:v>0.03</c:v>
                </c:pt>
                <c:pt idx="6">
                  <c:v>-0.01</c:v>
                </c:pt>
                <c:pt idx="7">
                  <c:v>0.01</c:v>
                </c:pt>
              </c:numCache>
            </c:numRef>
          </c:val>
        </c:ser>
        <c:ser>
          <c:idx val="2"/>
          <c:order val="2"/>
          <c:tx>
            <c:strRef>
              <c:f>PK!$A$13:$B$13</c:f>
              <c:strCache>
                <c:ptCount val="2"/>
                <c:pt idx="0">
                  <c:v>3306</c:v>
                </c:pt>
                <c:pt idx="1">
                  <c:v>每股盈餘 (元)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PK!$C$13:$J$13</c:f>
              <c:numCache>
                <c:formatCode>General</c:formatCode>
                <c:ptCount val="8"/>
                <c:pt idx="0">
                  <c:v>0.51</c:v>
                </c:pt>
                <c:pt idx="1">
                  <c:v>0.52</c:v>
                </c:pt>
                <c:pt idx="2">
                  <c:v>0.88</c:v>
                </c:pt>
                <c:pt idx="3">
                  <c:v>0.35</c:v>
                </c:pt>
                <c:pt idx="4">
                  <c:v>0.59</c:v>
                </c:pt>
                <c:pt idx="5">
                  <c:v>0.47</c:v>
                </c:pt>
                <c:pt idx="6">
                  <c:v>0.24</c:v>
                </c:pt>
                <c:pt idx="7">
                  <c:v>0.11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8"/>
        <c:overlap val="38"/>
        <c:axId val="263771280"/>
        <c:axId val="263771840"/>
      </c:barChart>
      <c:catAx>
        <c:axId val="26377128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263771840"/>
        <c:crosses val="autoZero"/>
        <c:auto val="1"/>
        <c:lblAlgn val="ctr"/>
        <c:lblOffset val="100"/>
        <c:noMultiLvlLbl val="0"/>
      </c:catAx>
      <c:valAx>
        <c:axId val="263771840"/>
        <c:scaling>
          <c:orientation val="minMax"/>
        </c:scaling>
        <c:delete val="0"/>
        <c:axPos val="l"/>
        <c:numFmt formatCode="#,##0_);\(#,##0\)" sourceLinked="0"/>
        <c:majorTickMark val="none"/>
        <c:minorTickMark val="none"/>
        <c:tickLblPos val="nextTo"/>
        <c:spPr>
          <a:ln>
            <a:noFill/>
            <a:prstDash val="sysDash"/>
          </a:ln>
        </c:spPr>
        <c:txPr>
          <a:bodyPr/>
          <a:lstStyle/>
          <a:p>
            <a:pPr>
              <a:defRPr sz="1100" b="1">
                <a:solidFill>
                  <a:schemeClr val="bg1"/>
                </a:solidFill>
              </a:defRPr>
            </a:pPr>
            <a:endParaRPr lang="zh-TW"/>
          </a:p>
        </c:txPr>
        <c:crossAx val="263771280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 w="19050"/>
  </c:spPr>
  <c:printSettings>
    <c:headerFooter/>
    <c:pageMargins b="0.7500000000000121" l="0.70000000000000062" r="0.70000000000000062" t="0.750000000000012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070159951979092E-2"/>
          <c:y val="0.14928788222459846"/>
          <c:w val="0.8073008441512376"/>
          <c:h val="0.7753662992125987"/>
        </c:manualLayout>
      </c:layout>
      <c:lineChart>
        <c:grouping val="standard"/>
        <c:varyColors val="0"/>
        <c:ser>
          <c:idx val="3"/>
          <c:order val="0"/>
          <c:tx>
            <c:strRef>
              <c:f>PK!$A$59:$B$59</c:f>
              <c:strCache>
                <c:ptCount val="2"/>
                <c:pt idx="0">
                  <c:v>3706</c:v>
                </c:pt>
                <c:pt idx="1">
                  <c:v>折舊率</c:v>
                </c:pt>
              </c:strCache>
            </c:strRef>
          </c:tx>
          <c:spPr>
            <a:ln>
              <a:solidFill>
                <a:srgbClr val="33CCFF"/>
              </a:solidFill>
            </a:ln>
          </c:spPr>
          <c:marker>
            <c:symbol val="none"/>
          </c:marker>
          <c:val>
            <c:numRef>
              <c:f>PK!$C$59:$J$59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1.5361687492835034E-2</c:v>
                </c:pt>
                <c:pt idx="3">
                  <c:v>1.8467852257181942E-2</c:v>
                </c:pt>
                <c:pt idx="4">
                  <c:v>1.2394255361007279E-2</c:v>
                </c:pt>
                <c:pt idx="5">
                  <c:v>1.2152777777777778E-2</c:v>
                </c:pt>
                <c:pt idx="6">
                  <c:v>1.1717605702568109E-2</c:v>
                </c:pt>
                <c:pt idx="7">
                  <c:v>9.7339934547285394E-3</c:v>
                </c:pt>
              </c:numCache>
            </c:numRef>
          </c:val>
          <c:smooth val="1"/>
        </c:ser>
        <c:ser>
          <c:idx val="4"/>
          <c:order val="1"/>
          <c:tx>
            <c:strRef>
              <c:f>PK!$A$60:$B$60</c:f>
              <c:strCache>
                <c:ptCount val="2"/>
                <c:pt idx="0">
                  <c:v>3499</c:v>
                </c:pt>
                <c:pt idx="1">
                  <c:v>折舊率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val>
            <c:numRef>
              <c:f>PK!$C$60:$J$60</c:f>
              <c:numCache>
                <c:formatCode>General</c:formatCode>
                <c:ptCount val="8"/>
                <c:pt idx="0">
                  <c:v>8.8888888888888892E-2</c:v>
                </c:pt>
                <c:pt idx="1">
                  <c:v>9.8765432098765427E-2</c:v>
                </c:pt>
                <c:pt idx="2">
                  <c:v>0.1125</c:v>
                </c:pt>
                <c:pt idx="3">
                  <c:v>0.12857142857142856</c:v>
                </c:pt>
                <c:pt idx="4">
                  <c:v>0.1095890410958904</c:v>
                </c:pt>
                <c:pt idx="5">
                  <c:v>8.0808080808080815E-2</c:v>
                </c:pt>
                <c:pt idx="6">
                  <c:v>9.1954022988505746E-2</c:v>
                </c:pt>
                <c:pt idx="7">
                  <c:v>8.7912087912087919E-2</c:v>
                </c:pt>
              </c:numCache>
            </c:numRef>
          </c:val>
          <c:smooth val="1"/>
        </c:ser>
        <c:ser>
          <c:idx val="5"/>
          <c:order val="2"/>
          <c:tx>
            <c:strRef>
              <c:f>PK!$A$61:$B$61</c:f>
              <c:strCache>
                <c:ptCount val="2"/>
                <c:pt idx="0">
                  <c:v>3306</c:v>
                </c:pt>
                <c:pt idx="1">
                  <c:v>折舊率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val>
            <c:numRef>
              <c:f>PK!$C$61:$J$61</c:f>
              <c:numCache>
                <c:formatCode>General</c:formatCode>
                <c:ptCount val="8"/>
                <c:pt idx="0">
                  <c:v>9.8039215686274508E-3</c:v>
                </c:pt>
                <c:pt idx="1">
                  <c:v>6.2111801242236021E-3</c:v>
                </c:pt>
                <c:pt idx="2">
                  <c:v>5.7142857142857143E-3</c:v>
                </c:pt>
                <c:pt idx="3">
                  <c:v>7.8431372549019607E-3</c:v>
                </c:pt>
                <c:pt idx="4">
                  <c:v>9.1743119266055051E-3</c:v>
                </c:pt>
                <c:pt idx="5">
                  <c:v>6.4724919093851136E-3</c:v>
                </c:pt>
                <c:pt idx="6">
                  <c:v>6.920415224913495E-3</c:v>
                </c:pt>
                <c:pt idx="7">
                  <c:v>8.8888888888888889E-3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3775760"/>
        <c:axId val="263776320"/>
      </c:lineChart>
      <c:catAx>
        <c:axId val="26377576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263776320"/>
        <c:crosses val="autoZero"/>
        <c:auto val="1"/>
        <c:lblAlgn val="ctr"/>
        <c:lblOffset val="100"/>
        <c:noMultiLvlLbl val="0"/>
      </c:catAx>
      <c:valAx>
        <c:axId val="263776320"/>
        <c:scaling>
          <c:orientation val="minMax"/>
        </c:scaling>
        <c:delete val="0"/>
        <c:axPos val="l"/>
        <c:numFmt formatCode="0%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100" b="1">
                <a:solidFill>
                  <a:schemeClr val="bg1"/>
                </a:solidFill>
              </a:defRPr>
            </a:pPr>
            <a:endParaRPr lang="zh-TW"/>
          </a:p>
        </c:txPr>
        <c:crossAx val="26377576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19050"/>
  </c:spPr>
  <c:printSettings>
    <c:headerFooter/>
    <c:pageMargins b="0.7500000000000121" l="0.70000000000000062" r="0.70000000000000062" t="0.7500000000000121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FF00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</c:spPr>
          </c:dPt>
          <c:dPt>
            <c:idx val="1"/>
            <c:invertIfNegative val="0"/>
            <c:bubble3D val="0"/>
            <c:spPr>
              <a:solidFill>
                <a:srgbClr val="FF5050"/>
              </a:solidFill>
            </c:spPr>
          </c:dPt>
          <c:dLbls>
            <c:spPr>
              <a:solidFill>
                <a:schemeClr val="tx1"/>
              </a:solidFill>
            </c:spPr>
            <c:txPr>
              <a:bodyPr/>
              <a:lstStyle/>
              <a:p>
                <a:pPr>
                  <a:defRPr sz="1200" b="1">
                    <a:solidFill>
                      <a:srgbClr val="FFFF00"/>
                    </a:solidFill>
                  </a:defRPr>
                </a:pPr>
                <a:endParaRPr lang="zh-TW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PRICE!$N$1:$P$1</c:f>
              <c:strCache>
                <c:ptCount val="3"/>
                <c:pt idx="0">
                  <c:v> 3706神達 </c:v>
                </c:pt>
                <c:pt idx="1">
                  <c:v> 3499環天科 </c:v>
                </c:pt>
                <c:pt idx="2">
                  <c:v> 3306鼎天 </c:v>
                </c:pt>
              </c:strCache>
            </c:strRef>
          </c:cat>
          <c:val>
            <c:numRef>
              <c:f>PRICE!$N$3:$P$3</c:f>
              <c:numCache>
                <c:formatCode>_(* #,##0.00_);_(* \(#,##0.00\);_(* "-"??_);_(@_)</c:formatCode>
                <c:ptCount val="3"/>
                <c:pt idx="0">
                  <c:v>18</c:v>
                </c:pt>
                <c:pt idx="1">
                  <c:v>100</c:v>
                </c:pt>
                <c:pt idx="2">
                  <c:v>19.503546099290777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3779120"/>
        <c:axId val="263779680"/>
      </c:barChart>
      <c:catAx>
        <c:axId val="2637791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263779680"/>
        <c:crosses val="autoZero"/>
        <c:auto val="1"/>
        <c:lblAlgn val="ctr"/>
        <c:lblOffset val="100"/>
        <c:noMultiLvlLbl val="0"/>
      </c:catAx>
      <c:valAx>
        <c:axId val="263779680"/>
        <c:scaling>
          <c:orientation val="minMax"/>
        </c:scaling>
        <c:delete val="1"/>
        <c:axPos val="l"/>
        <c:numFmt formatCode="#,##0_);[Red]\(#,##0\)" sourceLinked="0"/>
        <c:majorTickMark val="in"/>
        <c:minorTickMark val="none"/>
        <c:tickLblPos val="none"/>
        <c:crossAx val="26377912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solidFill>
      <a:schemeClr val="tx1"/>
    </a:solidFill>
  </c:sp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070115043250801E-2"/>
          <c:y val="0.16182292279821969"/>
          <c:w val="0.8073008441512376"/>
          <c:h val="0.6805268318225187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PK!$A$2:$B$2</c:f>
              <c:strCache>
                <c:ptCount val="2"/>
                <c:pt idx="0">
                  <c:v>3706</c:v>
                </c:pt>
                <c:pt idx="1">
                  <c:v>營業收入淨額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PK!$C$2:$J$2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10193</c:v>
                </c:pt>
                <c:pt idx="3">
                  <c:v>8499</c:v>
                </c:pt>
                <c:pt idx="4">
                  <c:v>11745</c:v>
                </c:pt>
                <c:pt idx="5">
                  <c:v>9989</c:v>
                </c:pt>
                <c:pt idx="6">
                  <c:v>11827</c:v>
                </c:pt>
                <c:pt idx="7">
                  <c:v>13414</c:v>
                </c:pt>
              </c:numCache>
            </c:numRef>
          </c:val>
        </c:ser>
        <c:ser>
          <c:idx val="1"/>
          <c:order val="1"/>
          <c:tx>
            <c:strRef>
              <c:f>PK!$A$3:$B$3</c:f>
              <c:strCache>
                <c:ptCount val="2"/>
                <c:pt idx="0">
                  <c:v>3499</c:v>
                </c:pt>
                <c:pt idx="1">
                  <c:v>營業收入淨額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PK!$C$3:$J$3</c:f>
              <c:numCache>
                <c:formatCode>General</c:formatCode>
                <c:ptCount val="8"/>
                <c:pt idx="0">
                  <c:v>126</c:v>
                </c:pt>
                <c:pt idx="1">
                  <c:v>105</c:v>
                </c:pt>
                <c:pt idx="2">
                  <c:v>109</c:v>
                </c:pt>
                <c:pt idx="3">
                  <c:v>82</c:v>
                </c:pt>
                <c:pt idx="4">
                  <c:v>100</c:v>
                </c:pt>
                <c:pt idx="5">
                  <c:v>137</c:v>
                </c:pt>
                <c:pt idx="6">
                  <c:v>110</c:v>
                </c:pt>
                <c:pt idx="7">
                  <c:v>129</c:v>
                </c:pt>
              </c:numCache>
            </c:numRef>
          </c:val>
        </c:ser>
        <c:ser>
          <c:idx val="2"/>
          <c:order val="2"/>
          <c:tx>
            <c:strRef>
              <c:f>PK!$A$4:$B$4</c:f>
              <c:strCache>
                <c:ptCount val="2"/>
                <c:pt idx="0">
                  <c:v>3306</c:v>
                </c:pt>
                <c:pt idx="1">
                  <c:v>營業收入淨額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PK!$C$4:$J$4</c:f>
              <c:numCache>
                <c:formatCode>General</c:formatCode>
                <c:ptCount val="8"/>
                <c:pt idx="0">
                  <c:v>260</c:v>
                </c:pt>
                <c:pt idx="1">
                  <c:v>413</c:v>
                </c:pt>
                <c:pt idx="2">
                  <c:v>473</c:v>
                </c:pt>
                <c:pt idx="3">
                  <c:v>332</c:v>
                </c:pt>
                <c:pt idx="4">
                  <c:v>284</c:v>
                </c:pt>
                <c:pt idx="5">
                  <c:v>399</c:v>
                </c:pt>
                <c:pt idx="6">
                  <c:v>368</c:v>
                </c:pt>
                <c:pt idx="7">
                  <c:v>288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8"/>
        <c:overlap val="38"/>
        <c:axId val="263784720"/>
        <c:axId val="263785280"/>
      </c:barChart>
      <c:lineChart>
        <c:grouping val="standard"/>
        <c:varyColors val="0"/>
        <c:ser>
          <c:idx val="3"/>
          <c:order val="3"/>
          <c:tx>
            <c:strRef>
              <c:f>PK!$A$44:$B$44</c:f>
              <c:strCache>
                <c:ptCount val="2"/>
                <c:pt idx="0">
                  <c:v>3706</c:v>
                </c:pt>
                <c:pt idx="1">
                  <c:v>毛利率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val>
            <c:numRef>
              <c:f>PK!$C$44:$J$44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0.14421661924850387</c:v>
                </c:pt>
                <c:pt idx="3">
                  <c:v>0.13989881162489703</c:v>
                </c:pt>
                <c:pt idx="4">
                  <c:v>0.13444018731375054</c:v>
                </c:pt>
                <c:pt idx="5">
                  <c:v>0.13504855340874963</c:v>
                </c:pt>
                <c:pt idx="6">
                  <c:v>0.13409994081339308</c:v>
                </c:pt>
                <c:pt idx="7">
                  <c:v>0.11159982108245117</c:v>
                </c:pt>
              </c:numCache>
            </c:numRef>
          </c:val>
          <c:smooth val="1"/>
        </c:ser>
        <c:ser>
          <c:idx val="4"/>
          <c:order val="4"/>
          <c:tx>
            <c:strRef>
              <c:f>PK!$A$45:$B$45</c:f>
              <c:strCache>
                <c:ptCount val="2"/>
                <c:pt idx="0">
                  <c:v>3499</c:v>
                </c:pt>
                <c:pt idx="1">
                  <c:v>毛利率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val>
            <c:numRef>
              <c:f>PK!$C$45:$J$45</c:f>
              <c:numCache>
                <c:formatCode>General</c:formatCode>
                <c:ptCount val="8"/>
                <c:pt idx="0">
                  <c:v>0.2857142857142857</c:v>
                </c:pt>
                <c:pt idx="1">
                  <c:v>0.22857142857142856</c:v>
                </c:pt>
                <c:pt idx="2">
                  <c:v>0.26605504587155965</c:v>
                </c:pt>
                <c:pt idx="3">
                  <c:v>0.14634146341463414</c:v>
                </c:pt>
                <c:pt idx="4">
                  <c:v>0.27</c:v>
                </c:pt>
                <c:pt idx="5">
                  <c:v>0.27737226277372262</c:v>
                </c:pt>
                <c:pt idx="6">
                  <c:v>0.20909090909090908</c:v>
                </c:pt>
                <c:pt idx="7">
                  <c:v>0.29457364341085274</c:v>
                </c:pt>
              </c:numCache>
            </c:numRef>
          </c:val>
          <c:smooth val="1"/>
        </c:ser>
        <c:ser>
          <c:idx val="5"/>
          <c:order val="5"/>
          <c:tx>
            <c:strRef>
              <c:f>PK!$A$46:$B$46</c:f>
              <c:strCache>
                <c:ptCount val="2"/>
                <c:pt idx="0">
                  <c:v>3306</c:v>
                </c:pt>
                <c:pt idx="1">
                  <c:v>毛利率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val>
            <c:numRef>
              <c:f>PK!$C$46:$J$46</c:f>
              <c:numCache>
                <c:formatCode>General</c:formatCode>
                <c:ptCount val="8"/>
                <c:pt idx="0">
                  <c:v>0.2153846153846154</c:v>
                </c:pt>
                <c:pt idx="1">
                  <c:v>0.22033898305084745</c:v>
                </c:pt>
                <c:pt idx="2">
                  <c:v>0.26004228329809725</c:v>
                </c:pt>
                <c:pt idx="3">
                  <c:v>0.23192771084337349</c:v>
                </c:pt>
                <c:pt idx="4">
                  <c:v>0.23239436619718309</c:v>
                </c:pt>
                <c:pt idx="5">
                  <c:v>0.22556390977443608</c:v>
                </c:pt>
                <c:pt idx="6">
                  <c:v>0.21467391304347827</c:v>
                </c:pt>
                <c:pt idx="7">
                  <c:v>0.21875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3786400"/>
        <c:axId val="263785840"/>
      </c:lineChart>
      <c:catAx>
        <c:axId val="26378472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263785280"/>
        <c:crosses val="autoZero"/>
        <c:auto val="1"/>
        <c:lblAlgn val="ctr"/>
        <c:lblOffset val="100"/>
        <c:noMultiLvlLbl val="0"/>
      </c:catAx>
      <c:valAx>
        <c:axId val="263785280"/>
        <c:scaling>
          <c:orientation val="minMax"/>
          <c:max val="14084.7"/>
          <c:min val="0"/>
        </c:scaling>
        <c:delete val="0"/>
        <c:axPos val="l"/>
        <c:numFmt formatCode="#,##0.00_);[Red]\(#,##0.00\)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100" b="1">
                <a:solidFill>
                  <a:schemeClr val="bg1"/>
                </a:solidFill>
              </a:defRPr>
            </a:pPr>
            <a:endParaRPr lang="zh-TW"/>
          </a:p>
        </c:txPr>
        <c:crossAx val="263784720"/>
        <c:crosses val="autoZero"/>
        <c:crossBetween val="between"/>
      </c:valAx>
      <c:valAx>
        <c:axId val="263785840"/>
        <c:scaling>
          <c:orientation val="minMax"/>
          <c:max val="0.30930232558139537"/>
          <c:min val="0"/>
        </c:scaling>
        <c:delete val="0"/>
        <c:axPos val="r"/>
        <c:numFmt formatCode="0%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100">
                <a:solidFill>
                  <a:schemeClr val="bg1"/>
                </a:solidFill>
              </a:defRPr>
            </a:pPr>
            <a:endParaRPr lang="zh-TW"/>
          </a:p>
        </c:txPr>
        <c:crossAx val="263786400"/>
        <c:crosses val="max"/>
        <c:crossBetween val="between"/>
      </c:valAx>
      <c:catAx>
        <c:axId val="263786400"/>
        <c:scaling>
          <c:orientation val="minMax"/>
        </c:scaling>
        <c:delete val="1"/>
        <c:axPos val="b"/>
        <c:majorTickMark val="out"/>
        <c:minorTickMark val="none"/>
        <c:tickLblPos val="none"/>
        <c:crossAx val="263785840"/>
        <c:crosses val="autoZero"/>
        <c:auto val="1"/>
        <c:lblAlgn val="ctr"/>
        <c:lblOffset val="100"/>
        <c:noMultiLvlLbl val="0"/>
      </c:catAx>
      <c:spPr>
        <a:noFill/>
      </c:spPr>
    </c:plotArea>
    <c:plotVisOnly val="1"/>
    <c:dispBlanksAs val="gap"/>
    <c:showDLblsOverMax val="0"/>
  </c:chart>
  <c:spPr>
    <a:noFill/>
    <a:ln w="19050"/>
  </c:spPr>
  <c:printSettings>
    <c:headerFooter/>
    <c:pageMargins b="0.7500000000000121" l="0.70000000000000062" r="0.70000000000000062" t="0.7500000000000121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13" Type="http://schemas.openxmlformats.org/officeDocument/2006/relationships/image" Target="../media/image17.emf"/><Relationship Id="rId18" Type="http://schemas.openxmlformats.org/officeDocument/2006/relationships/image" Target="../media/image22.emf"/><Relationship Id="rId26" Type="http://schemas.openxmlformats.org/officeDocument/2006/relationships/image" Target="../media/image1.emf"/><Relationship Id="rId3" Type="http://schemas.openxmlformats.org/officeDocument/2006/relationships/image" Target="../media/image8.emf"/><Relationship Id="rId21" Type="http://schemas.openxmlformats.org/officeDocument/2006/relationships/image" Target="../media/image25.emf"/><Relationship Id="rId7" Type="http://schemas.openxmlformats.org/officeDocument/2006/relationships/image" Target="../media/image12.emf"/><Relationship Id="rId12" Type="http://schemas.openxmlformats.org/officeDocument/2006/relationships/image" Target="../media/image16.emf"/><Relationship Id="rId17" Type="http://schemas.openxmlformats.org/officeDocument/2006/relationships/image" Target="../media/image21.emf"/><Relationship Id="rId25" Type="http://schemas.openxmlformats.org/officeDocument/2006/relationships/image" Target="../media/image2.emf"/><Relationship Id="rId2" Type="http://schemas.openxmlformats.org/officeDocument/2006/relationships/image" Target="../media/image7.emf"/><Relationship Id="rId16" Type="http://schemas.openxmlformats.org/officeDocument/2006/relationships/image" Target="../media/image20.emf"/><Relationship Id="rId20" Type="http://schemas.openxmlformats.org/officeDocument/2006/relationships/image" Target="../media/image24.emf"/><Relationship Id="rId1" Type="http://schemas.openxmlformats.org/officeDocument/2006/relationships/image" Target="../media/image6.emf"/><Relationship Id="rId6" Type="http://schemas.openxmlformats.org/officeDocument/2006/relationships/image" Target="../media/image11.emf"/><Relationship Id="rId11" Type="http://schemas.openxmlformats.org/officeDocument/2006/relationships/image" Target="../media/image5.emf"/><Relationship Id="rId24" Type="http://schemas.openxmlformats.org/officeDocument/2006/relationships/image" Target="../media/image3.emf"/><Relationship Id="rId5" Type="http://schemas.openxmlformats.org/officeDocument/2006/relationships/image" Target="../media/image10.emf"/><Relationship Id="rId15" Type="http://schemas.openxmlformats.org/officeDocument/2006/relationships/image" Target="../media/image19.emf"/><Relationship Id="rId23" Type="http://schemas.openxmlformats.org/officeDocument/2006/relationships/image" Target="../media/image4.emf"/><Relationship Id="rId10" Type="http://schemas.openxmlformats.org/officeDocument/2006/relationships/image" Target="../media/image15.emf"/><Relationship Id="rId19" Type="http://schemas.openxmlformats.org/officeDocument/2006/relationships/image" Target="../media/image23.emf"/><Relationship Id="rId4" Type="http://schemas.openxmlformats.org/officeDocument/2006/relationships/image" Target="../media/image9.emf"/><Relationship Id="rId9" Type="http://schemas.openxmlformats.org/officeDocument/2006/relationships/image" Target="../media/image14.emf"/><Relationship Id="rId14" Type="http://schemas.openxmlformats.org/officeDocument/2006/relationships/image" Target="../media/image18.emf"/><Relationship Id="rId22" Type="http://schemas.openxmlformats.org/officeDocument/2006/relationships/image" Target="../media/image26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4.emf"/><Relationship Id="rId3" Type="http://schemas.openxmlformats.org/officeDocument/2006/relationships/image" Target="../media/image29.emf"/><Relationship Id="rId7" Type="http://schemas.openxmlformats.org/officeDocument/2006/relationships/image" Target="../media/image33.emf"/><Relationship Id="rId2" Type="http://schemas.openxmlformats.org/officeDocument/2006/relationships/image" Target="../media/image28.emf"/><Relationship Id="rId1" Type="http://schemas.openxmlformats.org/officeDocument/2006/relationships/image" Target="../media/image27.emf"/><Relationship Id="rId6" Type="http://schemas.openxmlformats.org/officeDocument/2006/relationships/image" Target="../media/image32.emf"/><Relationship Id="rId5" Type="http://schemas.openxmlformats.org/officeDocument/2006/relationships/image" Target="../media/image31.emf"/><Relationship Id="rId4" Type="http://schemas.openxmlformats.org/officeDocument/2006/relationships/image" Target="../media/image30.emf"/><Relationship Id="rId9" Type="http://schemas.openxmlformats.org/officeDocument/2006/relationships/image" Target="../media/image35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13" Type="http://schemas.openxmlformats.org/officeDocument/2006/relationships/image" Target="../media/image48.emf"/><Relationship Id="rId3" Type="http://schemas.openxmlformats.org/officeDocument/2006/relationships/image" Target="../media/image38.emf"/><Relationship Id="rId7" Type="http://schemas.openxmlformats.org/officeDocument/2006/relationships/image" Target="../media/image42.emf"/><Relationship Id="rId12" Type="http://schemas.openxmlformats.org/officeDocument/2006/relationships/image" Target="../media/image47.emf"/><Relationship Id="rId17" Type="http://schemas.openxmlformats.org/officeDocument/2006/relationships/image" Target="../media/image52.emf"/><Relationship Id="rId2" Type="http://schemas.openxmlformats.org/officeDocument/2006/relationships/image" Target="../media/image37.emf"/><Relationship Id="rId16" Type="http://schemas.openxmlformats.org/officeDocument/2006/relationships/image" Target="../media/image51.emf"/><Relationship Id="rId1" Type="http://schemas.openxmlformats.org/officeDocument/2006/relationships/image" Target="../media/image36.emf"/><Relationship Id="rId6" Type="http://schemas.openxmlformats.org/officeDocument/2006/relationships/image" Target="../media/image41.emf"/><Relationship Id="rId11" Type="http://schemas.openxmlformats.org/officeDocument/2006/relationships/image" Target="../media/image46.emf"/><Relationship Id="rId5" Type="http://schemas.openxmlformats.org/officeDocument/2006/relationships/image" Target="../media/image40.emf"/><Relationship Id="rId15" Type="http://schemas.openxmlformats.org/officeDocument/2006/relationships/image" Target="../media/image50.emf"/><Relationship Id="rId10" Type="http://schemas.openxmlformats.org/officeDocument/2006/relationships/image" Target="../media/image45.emf"/><Relationship Id="rId4" Type="http://schemas.openxmlformats.org/officeDocument/2006/relationships/image" Target="../media/image39.emf"/><Relationship Id="rId9" Type="http://schemas.openxmlformats.org/officeDocument/2006/relationships/image" Target="../media/image44.emf"/><Relationship Id="rId14" Type="http://schemas.openxmlformats.org/officeDocument/2006/relationships/image" Target="../media/image4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5.emf"/><Relationship Id="rId2" Type="http://schemas.openxmlformats.org/officeDocument/2006/relationships/image" Target="../media/image54.emf"/><Relationship Id="rId1" Type="http://schemas.openxmlformats.org/officeDocument/2006/relationships/image" Target="../media/image53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56.emf"/><Relationship Id="rId3" Type="http://schemas.openxmlformats.org/officeDocument/2006/relationships/image" Target="../media/image60.emf"/><Relationship Id="rId7" Type="http://schemas.openxmlformats.org/officeDocument/2006/relationships/image" Target="../media/image63.emf"/><Relationship Id="rId2" Type="http://schemas.openxmlformats.org/officeDocument/2006/relationships/image" Target="../media/image59.emf"/><Relationship Id="rId1" Type="http://schemas.openxmlformats.org/officeDocument/2006/relationships/image" Target="../media/image58.emf"/><Relationship Id="rId6" Type="http://schemas.openxmlformats.org/officeDocument/2006/relationships/image" Target="../media/image57.emf"/><Relationship Id="rId5" Type="http://schemas.openxmlformats.org/officeDocument/2006/relationships/image" Target="../media/image62.emf"/><Relationship Id="rId4" Type="http://schemas.openxmlformats.org/officeDocument/2006/relationships/image" Target="../media/image61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65.emf"/><Relationship Id="rId1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</xdr:row>
      <xdr:rowOff>38100</xdr:rowOff>
    </xdr:from>
    <xdr:to>
      <xdr:col>2</xdr:col>
      <xdr:colOff>784225</xdr:colOff>
      <xdr:row>12</xdr:row>
      <xdr:rowOff>184150</xdr:rowOff>
    </xdr:to>
    <xdr:graphicFrame macro="">
      <xdr:nvGraphicFramePr>
        <xdr:cNvPr id="12" name="圖表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13</xdr:row>
      <xdr:rowOff>38100</xdr:rowOff>
    </xdr:from>
    <xdr:to>
      <xdr:col>2</xdr:col>
      <xdr:colOff>784225</xdr:colOff>
      <xdr:row>24</xdr:row>
      <xdr:rowOff>184150</xdr:rowOff>
    </xdr:to>
    <xdr:graphicFrame macro="">
      <xdr:nvGraphicFramePr>
        <xdr:cNvPr id="13" name="圖表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38100</xdr:colOff>
      <xdr:row>25</xdr:row>
      <xdr:rowOff>38100</xdr:rowOff>
    </xdr:from>
    <xdr:to>
      <xdr:col>2</xdr:col>
      <xdr:colOff>784225</xdr:colOff>
      <xdr:row>36</xdr:row>
      <xdr:rowOff>184150</xdr:rowOff>
    </xdr:to>
    <xdr:graphicFrame macro="">
      <xdr:nvGraphicFramePr>
        <xdr:cNvPr id="14" name="圖表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38100</xdr:colOff>
      <xdr:row>1</xdr:row>
      <xdr:rowOff>38100</xdr:rowOff>
    </xdr:from>
    <xdr:to>
      <xdr:col>9</xdr:col>
      <xdr:colOff>403225</xdr:colOff>
      <xdr:row>12</xdr:row>
      <xdr:rowOff>184150</xdr:rowOff>
    </xdr:to>
    <xdr:graphicFrame macro="">
      <xdr:nvGraphicFramePr>
        <xdr:cNvPr id="15" name="圖表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38100</xdr:colOff>
      <xdr:row>13</xdr:row>
      <xdr:rowOff>38100</xdr:rowOff>
    </xdr:from>
    <xdr:to>
      <xdr:col>9</xdr:col>
      <xdr:colOff>403225</xdr:colOff>
      <xdr:row>24</xdr:row>
      <xdr:rowOff>184150</xdr:rowOff>
    </xdr:to>
    <xdr:graphicFrame macro="">
      <xdr:nvGraphicFramePr>
        <xdr:cNvPr id="16" name="圖表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38100</xdr:colOff>
      <xdr:row>25</xdr:row>
      <xdr:rowOff>38100</xdr:rowOff>
    </xdr:from>
    <xdr:to>
      <xdr:col>9</xdr:col>
      <xdr:colOff>403225</xdr:colOff>
      <xdr:row>36</xdr:row>
      <xdr:rowOff>184150</xdr:rowOff>
    </xdr:to>
    <xdr:graphicFrame macro="">
      <xdr:nvGraphicFramePr>
        <xdr:cNvPr id="17" name="圖表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0</xdr:rowOff>
        </xdr:from>
        <xdr:to>
          <xdr:col>1</xdr:col>
          <xdr:colOff>266700</xdr:colOff>
          <xdr:row>1</xdr:row>
          <xdr:rowOff>0</xdr:rowOff>
        </xdr:to>
        <xdr:sp macro="" textlink="">
          <xdr:nvSpPr>
            <xdr:cNvPr id="1025" name="ComboBox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0</xdr:row>
          <xdr:rowOff>19050</xdr:rowOff>
        </xdr:from>
        <xdr:to>
          <xdr:col>4</xdr:col>
          <xdr:colOff>28575</xdr:colOff>
          <xdr:row>1</xdr:row>
          <xdr:rowOff>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0</xdr:row>
          <xdr:rowOff>19050</xdr:rowOff>
        </xdr:from>
        <xdr:to>
          <xdr:col>5</xdr:col>
          <xdr:colOff>0</xdr:colOff>
          <xdr:row>1</xdr:row>
          <xdr:rowOff>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0</xdr:row>
          <xdr:rowOff>19050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19050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19050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0</xdr:row>
          <xdr:rowOff>19050</xdr:rowOff>
        </xdr:from>
        <xdr:to>
          <xdr:col>8</xdr:col>
          <xdr:colOff>933450</xdr:colOff>
          <xdr:row>1</xdr:row>
          <xdr:rowOff>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962025</xdr:colOff>
          <xdr:row>0</xdr:row>
          <xdr:rowOff>9525</xdr:rowOff>
        </xdr:from>
        <xdr:to>
          <xdr:col>9</xdr:col>
          <xdr:colOff>409575</xdr:colOff>
          <xdr:row>1</xdr:row>
          <xdr:rowOff>0</xdr:rowOff>
        </xdr:to>
        <xdr:sp macro="" textlink="">
          <xdr:nvSpPr>
            <xdr:cNvPr id="1032" name="CommandButton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</xdr:colOff>
          <xdr:row>1</xdr:row>
          <xdr:rowOff>28575</xdr:rowOff>
        </xdr:from>
        <xdr:to>
          <xdr:col>24</xdr:col>
          <xdr:colOff>419100</xdr:colOff>
          <xdr:row>2</xdr:row>
          <xdr:rowOff>180975</xdr:rowOff>
        </xdr:to>
        <xdr:sp macro="" textlink="">
          <xdr:nvSpPr>
            <xdr:cNvPr id="1033" name="CommandButton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0</xdr:row>
          <xdr:rowOff>9525</xdr:rowOff>
        </xdr:from>
        <xdr:to>
          <xdr:col>24</xdr:col>
          <xdr:colOff>409575</xdr:colOff>
          <xdr:row>1</xdr:row>
          <xdr:rowOff>0</xdr:rowOff>
        </xdr:to>
        <xdr:sp macro="" textlink="">
          <xdr:nvSpPr>
            <xdr:cNvPr id="1034" name="CommandButton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171450</xdr:colOff>
          <xdr:row>1</xdr:row>
          <xdr:rowOff>0</xdr:rowOff>
        </xdr:to>
        <xdr:sp macro="" textlink="">
          <xdr:nvSpPr>
            <xdr:cNvPr id="1040" name="CommandButton3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19050</xdr:colOff>
          <xdr:row>2</xdr:row>
          <xdr:rowOff>200025</xdr:rowOff>
        </xdr:from>
        <xdr:to>
          <xdr:col>24</xdr:col>
          <xdr:colOff>419100</xdr:colOff>
          <xdr:row>4</xdr:row>
          <xdr:rowOff>180975</xdr:rowOff>
        </xdr:to>
        <xdr:sp macro="" textlink="">
          <xdr:nvSpPr>
            <xdr:cNvPr id="1042" name="CommandButton11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19050</xdr:colOff>
          <xdr:row>4</xdr:row>
          <xdr:rowOff>180975</xdr:rowOff>
        </xdr:from>
        <xdr:to>
          <xdr:col>24</xdr:col>
          <xdr:colOff>419100</xdr:colOff>
          <xdr:row>6</xdr:row>
          <xdr:rowOff>161925</xdr:rowOff>
        </xdr:to>
        <xdr:sp macro="" textlink="">
          <xdr:nvSpPr>
            <xdr:cNvPr id="1044" name="CommandButton12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6</xdr:row>
          <xdr:rowOff>171450</xdr:rowOff>
        </xdr:from>
        <xdr:to>
          <xdr:col>24</xdr:col>
          <xdr:colOff>419100</xdr:colOff>
          <xdr:row>8</xdr:row>
          <xdr:rowOff>152400</xdr:rowOff>
        </xdr:to>
        <xdr:sp macro="" textlink="">
          <xdr:nvSpPr>
            <xdr:cNvPr id="1045" name="CommandButton13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19050</xdr:colOff>
          <xdr:row>8</xdr:row>
          <xdr:rowOff>142875</xdr:rowOff>
        </xdr:from>
        <xdr:to>
          <xdr:col>24</xdr:col>
          <xdr:colOff>419100</xdr:colOff>
          <xdr:row>10</xdr:row>
          <xdr:rowOff>133350</xdr:rowOff>
        </xdr:to>
        <xdr:sp macro="" textlink="">
          <xdr:nvSpPr>
            <xdr:cNvPr id="1047" name="CommandButton14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</xdr:colOff>
          <xdr:row>10</xdr:row>
          <xdr:rowOff>142875</xdr:rowOff>
        </xdr:from>
        <xdr:to>
          <xdr:col>24</xdr:col>
          <xdr:colOff>419100</xdr:colOff>
          <xdr:row>12</xdr:row>
          <xdr:rowOff>133350</xdr:rowOff>
        </xdr:to>
        <xdr:sp macro="" textlink="">
          <xdr:nvSpPr>
            <xdr:cNvPr id="1049" name="CommandButton1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12</xdr:row>
          <xdr:rowOff>161925</xdr:rowOff>
        </xdr:from>
        <xdr:to>
          <xdr:col>24</xdr:col>
          <xdr:colOff>409575</xdr:colOff>
          <xdr:row>14</xdr:row>
          <xdr:rowOff>142875</xdr:rowOff>
        </xdr:to>
        <xdr:sp macro="" textlink="">
          <xdr:nvSpPr>
            <xdr:cNvPr id="1050" name="CommandButton1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14</xdr:row>
          <xdr:rowOff>152400</xdr:rowOff>
        </xdr:from>
        <xdr:to>
          <xdr:col>24</xdr:col>
          <xdr:colOff>419100</xdr:colOff>
          <xdr:row>16</xdr:row>
          <xdr:rowOff>133350</xdr:rowOff>
        </xdr:to>
        <xdr:sp macro="" textlink="">
          <xdr:nvSpPr>
            <xdr:cNvPr id="1051" name="CommandButton1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16</xdr:row>
          <xdr:rowOff>142875</xdr:rowOff>
        </xdr:from>
        <xdr:to>
          <xdr:col>24</xdr:col>
          <xdr:colOff>419100</xdr:colOff>
          <xdr:row>18</xdr:row>
          <xdr:rowOff>123825</xdr:rowOff>
        </xdr:to>
        <xdr:sp macro="" textlink="">
          <xdr:nvSpPr>
            <xdr:cNvPr id="1052" name="CommandButton1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18</xdr:row>
          <xdr:rowOff>123825</xdr:rowOff>
        </xdr:from>
        <xdr:to>
          <xdr:col>24</xdr:col>
          <xdr:colOff>419100</xdr:colOff>
          <xdr:row>20</xdr:row>
          <xdr:rowOff>104775</xdr:rowOff>
        </xdr:to>
        <xdr:sp macro="" textlink="">
          <xdr:nvSpPr>
            <xdr:cNvPr id="1053" name="CommandButton1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20</xdr:row>
          <xdr:rowOff>142875</xdr:rowOff>
        </xdr:from>
        <xdr:to>
          <xdr:col>24</xdr:col>
          <xdr:colOff>419100</xdr:colOff>
          <xdr:row>22</xdr:row>
          <xdr:rowOff>123825</xdr:rowOff>
        </xdr:to>
        <xdr:sp macro="" textlink="">
          <xdr:nvSpPr>
            <xdr:cNvPr id="1054" name="CommandButton2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22</xdr:row>
          <xdr:rowOff>142875</xdr:rowOff>
        </xdr:from>
        <xdr:to>
          <xdr:col>24</xdr:col>
          <xdr:colOff>419100</xdr:colOff>
          <xdr:row>36</xdr:row>
          <xdr:rowOff>161925</xdr:rowOff>
        </xdr:to>
        <xdr:sp macro="" textlink="">
          <xdr:nvSpPr>
            <xdr:cNvPr id="1055" name="CommandButton2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52917</xdr:colOff>
      <xdr:row>1</xdr:row>
      <xdr:rowOff>23812</xdr:rowOff>
    </xdr:from>
    <xdr:to>
      <xdr:col>21</xdr:col>
      <xdr:colOff>464343</xdr:colOff>
      <xdr:row>20</xdr:row>
      <xdr:rowOff>11906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54238</xdr:colOff>
      <xdr:row>20</xdr:row>
      <xdr:rowOff>23812</xdr:rowOff>
    </xdr:from>
    <xdr:to>
      <xdr:col>21</xdr:col>
      <xdr:colOff>476249</xdr:colOff>
      <xdr:row>37</xdr:row>
      <xdr:rowOff>11906</xdr:rowOff>
    </xdr:to>
    <xdr:graphicFrame macro="">
      <xdr:nvGraphicFramePr>
        <xdr:cNvPr id="32" name="圖表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219075</xdr:colOff>
          <xdr:row>1</xdr:row>
          <xdr:rowOff>104775</xdr:rowOff>
        </xdr:from>
        <xdr:to>
          <xdr:col>21</xdr:col>
          <xdr:colOff>446554</xdr:colOff>
          <xdr:row>2</xdr:row>
          <xdr:rowOff>171450</xdr:rowOff>
        </xdr:to>
        <xdr:sp macro="" textlink="">
          <xdr:nvSpPr>
            <xdr:cNvPr id="1056" name="CommandButton10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133350</xdr:colOff>
          <xdr:row>1</xdr:row>
          <xdr:rowOff>104775</xdr:rowOff>
        </xdr:from>
        <xdr:to>
          <xdr:col>15</xdr:col>
          <xdr:colOff>342900</xdr:colOff>
          <xdr:row>2</xdr:row>
          <xdr:rowOff>171450</xdr:rowOff>
        </xdr:to>
        <xdr:sp macro="" textlink="">
          <xdr:nvSpPr>
            <xdr:cNvPr id="1057" name="CommandButton22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133350</xdr:colOff>
          <xdr:row>35</xdr:row>
          <xdr:rowOff>47625</xdr:rowOff>
        </xdr:from>
        <xdr:to>
          <xdr:col>15</xdr:col>
          <xdr:colOff>333375</xdr:colOff>
          <xdr:row>36</xdr:row>
          <xdr:rowOff>161925</xdr:rowOff>
        </xdr:to>
        <xdr:sp macro="" textlink="">
          <xdr:nvSpPr>
            <xdr:cNvPr id="1058" name="CommandButton23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180975</xdr:colOff>
          <xdr:row>35</xdr:row>
          <xdr:rowOff>28575</xdr:rowOff>
        </xdr:from>
        <xdr:to>
          <xdr:col>21</xdr:col>
          <xdr:colOff>408454</xdr:colOff>
          <xdr:row>36</xdr:row>
          <xdr:rowOff>133350</xdr:rowOff>
        </xdr:to>
        <xdr:sp macro="" textlink="">
          <xdr:nvSpPr>
            <xdr:cNvPr id="1059" name="CommandButton24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28574</xdr:colOff>
      <xdr:row>23</xdr:row>
      <xdr:rowOff>171450</xdr:rowOff>
    </xdr:from>
    <xdr:to>
      <xdr:col>15</xdr:col>
      <xdr:colOff>657224</xdr:colOff>
      <xdr:row>34</xdr:row>
      <xdr:rowOff>66676</xdr:rowOff>
    </xdr:to>
    <xdr:graphicFrame macro="">
      <xdr:nvGraphicFramePr>
        <xdr:cNvPr id="2" name="圖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57150</xdr:colOff>
      <xdr:row>1</xdr:row>
      <xdr:rowOff>76200</xdr:rowOff>
    </xdr:from>
    <xdr:to>
      <xdr:col>15</xdr:col>
      <xdr:colOff>647700</xdr:colOff>
      <xdr:row>12</xdr:row>
      <xdr:rowOff>95250</xdr:rowOff>
    </xdr:to>
    <xdr:graphicFrame macro="">
      <xdr:nvGraphicFramePr>
        <xdr:cNvPr id="3" name="圖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38100</xdr:colOff>
      <xdr:row>12</xdr:row>
      <xdr:rowOff>171451</xdr:rowOff>
    </xdr:from>
    <xdr:to>
      <xdr:col>15</xdr:col>
      <xdr:colOff>647700</xdr:colOff>
      <xdr:row>23</xdr:row>
      <xdr:rowOff>104775</xdr:rowOff>
    </xdr:to>
    <xdr:graphicFrame macro="">
      <xdr:nvGraphicFramePr>
        <xdr:cNvPr id="4" name="圖表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114299</xdr:colOff>
      <xdr:row>23</xdr:row>
      <xdr:rowOff>180975</xdr:rowOff>
    </xdr:from>
    <xdr:to>
      <xdr:col>8</xdr:col>
      <xdr:colOff>66675</xdr:colOff>
      <xdr:row>34</xdr:row>
      <xdr:rowOff>85725</xdr:rowOff>
    </xdr:to>
    <xdr:graphicFrame macro="">
      <xdr:nvGraphicFramePr>
        <xdr:cNvPr id="5" name="圖表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12</xdr:row>
      <xdr:rowOff>152400</xdr:rowOff>
    </xdr:from>
    <xdr:to>
      <xdr:col>8</xdr:col>
      <xdr:colOff>47625</xdr:colOff>
      <xdr:row>23</xdr:row>
      <xdr:rowOff>104775</xdr:rowOff>
    </xdr:to>
    <xdr:graphicFrame macro="">
      <xdr:nvGraphicFramePr>
        <xdr:cNvPr id="6" name="圖表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9524</xdr:colOff>
      <xdr:row>5</xdr:row>
      <xdr:rowOff>28575</xdr:rowOff>
    </xdr:from>
    <xdr:to>
      <xdr:col>22</xdr:col>
      <xdr:colOff>9526</xdr:colOff>
      <xdr:row>12</xdr:row>
      <xdr:rowOff>66675</xdr:rowOff>
    </xdr:to>
    <xdr:graphicFrame macro="">
      <xdr:nvGraphicFramePr>
        <xdr:cNvPr id="7" name="圖表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38100</xdr:colOff>
      <xdr:row>1</xdr:row>
      <xdr:rowOff>85724</xdr:rowOff>
    </xdr:from>
    <xdr:to>
      <xdr:col>8</xdr:col>
      <xdr:colOff>76200</xdr:colOff>
      <xdr:row>12</xdr:row>
      <xdr:rowOff>104775</xdr:rowOff>
    </xdr:to>
    <xdr:graphicFrame macro="">
      <xdr:nvGraphicFramePr>
        <xdr:cNvPr id="8" name="圖表 7" descr="&#10;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0</xdr:row>
          <xdr:rowOff>47625</xdr:rowOff>
        </xdr:from>
        <xdr:to>
          <xdr:col>2</xdr:col>
          <xdr:colOff>38100</xdr:colOff>
          <xdr:row>1</xdr:row>
          <xdr:rowOff>0</xdr:rowOff>
        </xdr:to>
        <xdr:sp macro="" textlink="">
          <xdr:nvSpPr>
            <xdr:cNvPr id="7169" name="ComboBox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0</xdr:row>
          <xdr:rowOff>47625</xdr:rowOff>
        </xdr:from>
        <xdr:to>
          <xdr:col>3</xdr:col>
          <xdr:colOff>914400</xdr:colOff>
          <xdr:row>1</xdr:row>
          <xdr:rowOff>0</xdr:rowOff>
        </xdr:to>
        <xdr:sp macro="" textlink="">
          <xdr:nvSpPr>
            <xdr:cNvPr id="7170" name="ComboBox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47625</xdr:rowOff>
        </xdr:from>
        <xdr:to>
          <xdr:col>5</xdr:col>
          <xdr:colOff>885825</xdr:colOff>
          <xdr:row>1</xdr:row>
          <xdr:rowOff>0</xdr:rowOff>
        </xdr:to>
        <xdr:sp macro="" textlink="">
          <xdr:nvSpPr>
            <xdr:cNvPr id="7171" name="ComboBox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38100</xdr:rowOff>
        </xdr:from>
        <xdr:to>
          <xdr:col>8</xdr:col>
          <xdr:colOff>85725</xdr:colOff>
          <xdr:row>0</xdr:row>
          <xdr:rowOff>342900</xdr:rowOff>
        </xdr:to>
        <xdr:sp macro="" textlink="">
          <xdr:nvSpPr>
            <xdr:cNvPr id="7172" name="CommandButton1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0</xdr:row>
          <xdr:rowOff>38100</xdr:rowOff>
        </xdr:from>
        <xdr:to>
          <xdr:col>10</xdr:col>
          <xdr:colOff>619125</xdr:colOff>
          <xdr:row>0</xdr:row>
          <xdr:rowOff>342900</xdr:rowOff>
        </xdr:to>
        <xdr:sp macro="" textlink="">
          <xdr:nvSpPr>
            <xdr:cNvPr id="7173" name="CommandButton2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685800</xdr:colOff>
          <xdr:row>0</xdr:row>
          <xdr:rowOff>38100</xdr:rowOff>
        </xdr:from>
        <xdr:to>
          <xdr:col>11</xdr:col>
          <xdr:colOff>914400</xdr:colOff>
          <xdr:row>0</xdr:row>
          <xdr:rowOff>342900</xdr:rowOff>
        </xdr:to>
        <xdr:sp macro="" textlink="">
          <xdr:nvSpPr>
            <xdr:cNvPr id="7174" name="CommandButton3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971550</xdr:colOff>
          <xdr:row>0</xdr:row>
          <xdr:rowOff>38100</xdr:rowOff>
        </xdr:from>
        <xdr:to>
          <xdr:col>13</xdr:col>
          <xdr:colOff>219075</xdr:colOff>
          <xdr:row>0</xdr:row>
          <xdr:rowOff>342900</xdr:rowOff>
        </xdr:to>
        <xdr:sp macro="" textlink="">
          <xdr:nvSpPr>
            <xdr:cNvPr id="7175" name="CommandButton4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0</xdr:row>
          <xdr:rowOff>38100</xdr:rowOff>
        </xdr:from>
        <xdr:to>
          <xdr:col>14</xdr:col>
          <xdr:colOff>495300</xdr:colOff>
          <xdr:row>0</xdr:row>
          <xdr:rowOff>342900</xdr:rowOff>
        </xdr:to>
        <xdr:sp macro="" textlink="">
          <xdr:nvSpPr>
            <xdr:cNvPr id="7176" name="CommandButton5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561975</xdr:colOff>
          <xdr:row>0</xdr:row>
          <xdr:rowOff>38100</xdr:rowOff>
        </xdr:from>
        <xdr:to>
          <xdr:col>15</xdr:col>
          <xdr:colOff>790575</xdr:colOff>
          <xdr:row>0</xdr:row>
          <xdr:rowOff>342900</xdr:rowOff>
        </xdr:to>
        <xdr:sp macro="" textlink="">
          <xdr:nvSpPr>
            <xdr:cNvPr id="7177" name="CommandButton6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0</xdr:row>
          <xdr:rowOff>19050</xdr:rowOff>
        </xdr:from>
        <xdr:to>
          <xdr:col>3</xdr:col>
          <xdr:colOff>828675</xdr:colOff>
          <xdr:row>1</xdr:row>
          <xdr:rowOff>0</xdr:rowOff>
        </xdr:to>
        <xdr:sp macro="" textlink="">
          <xdr:nvSpPr>
            <xdr:cNvPr id="4097" name="CommandButton2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0</xdr:row>
          <xdr:rowOff>19050</xdr:rowOff>
        </xdr:from>
        <xdr:to>
          <xdr:col>4</xdr:col>
          <xdr:colOff>828675</xdr:colOff>
          <xdr:row>1</xdr:row>
          <xdr:rowOff>0</xdr:rowOff>
        </xdr:to>
        <xdr:sp macro="" textlink="">
          <xdr:nvSpPr>
            <xdr:cNvPr id="4098" name="CommandButton3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0</xdr:row>
          <xdr:rowOff>19050</xdr:rowOff>
        </xdr:from>
        <xdr:to>
          <xdr:col>5</xdr:col>
          <xdr:colOff>828675</xdr:colOff>
          <xdr:row>1</xdr:row>
          <xdr:rowOff>0</xdr:rowOff>
        </xdr:to>
        <xdr:sp macro="" textlink="">
          <xdr:nvSpPr>
            <xdr:cNvPr id="4099" name="CommandButton4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0</xdr:row>
          <xdr:rowOff>19050</xdr:rowOff>
        </xdr:from>
        <xdr:to>
          <xdr:col>8</xdr:col>
          <xdr:colOff>9525</xdr:colOff>
          <xdr:row>1</xdr:row>
          <xdr:rowOff>0</xdr:rowOff>
        </xdr:to>
        <xdr:sp macro="" textlink="">
          <xdr:nvSpPr>
            <xdr:cNvPr id="4100" name="CommandButton5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0</xdr:row>
          <xdr:rowOff>19050</xdr:rowOff>
        </xdr:from>
        <xdr:to>
          <xdr:col>9</xdr:col>
          <xdr:colOff>9525</xdr:colOff>
          <xdr:row>1</xdr:row>
          <xdr:rowOff>0</xdr:rowOff>
        </xdr:to>
        <xdr:sp macro="" textlink="">
          <xdr:nvSpPr>
            <xdr:cNvPr id="4101" name="CommandButton6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19050</xdr:rowOff>
        </xdr:from>
        <xdr:to>
          <xdr:col>11</xdr:col>
          <xdr:colOff>828675</xdr:colOff>
          <xdr:row>1</xdr:row>
          <xdr:rowOff>0</xdr:rowOff>
        </xdr:to>
        <xdr:sp macro="" textlink="">
          <xdr:nvSpPr>
            <xdr:cNvPr id="4102" name="CommandButton7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0</xdr:row>
          <xdr:rowOff>19050</xdr:rowOff>
        </xdr:from>
        <xdr:to>
          <xdr:col>10</xdr:col>
          <xdr:colOff>19050</xdr:colOff>
          <xdr:row>1</xdr:row>
          <xdr:rowOff>0</xdr:rowOff>
        </xdr:to>
        <xdr:sp macro="" textlink="">
          <xdr:nvSpPr>
            <xdr:cNvPr id="4103" name="CommandButton8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0</xdr:row>
          <xdr:rowOff>19050</xdr:rowOff>
        </xdr:from>
        <xdr:to>
          <xdr:col>11</xdr:col>
          <xdr:colOff>57150</xdr:colOff>
          <xdr:row>1</xdr:row>
          <xdr:rowOff>0</xdr:rowOff>
        </xdr:to>
        <xdr:sp macro="" textlink="">
          <xdr:nvSpPr>
            <xdr:cNvPr id="4104" name="CommandButton9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0</xdr:row>
          <xdr:rowOff>19050</xdr:rowOff>
        </xdr:from>
        <xdr:to>
          <xdr:col>13</xdr:col>
          <xdr:colOff>9525</xdr:colOff>
          <xdr:row>1</xdr:row>
          <xdr:rowOff>0</xdr:rowOff>
        </xdr:to>
        <xdr:sp macro="" textlink="">
          <xdr:nvSpPr>
            <xdr:cNvPr id="4105" name="CommandButton10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0</xdr:row>
          <xdr:rowOff>19050</xdr:rowOff>
        </xdr:from>
        <xdr:to>
          <xdr:col>13</xdr:col>
          <xdr:colOff>828675</xdr:colOff>
          <xdr:row>1</xdr:row>
          <xdr:rowOff>0</xdr:rowOff>
        </xdr:to>
        <xdr:sp macro="" textlink="">
          <xdr:nvSpPr>
            <xdr:cNvPr id="4106" name="CommandButton11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0</xdr:rowOff>
        </xdr:from>
        <xdr:to>
          <xdr:col>0</xdr:col>
          <xdr:colOff>714375</xdr:colOff>
          <xdr:row>0</xdr:row>
          <xdr:rowOff>409575</xdr:rowOff>
        </xdr:to>
        <xdr:sp macro="" textlink="">
          <xdr:nvSpPr>
            <xdr:cNvPr id="4107" name="CommandButton12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19050</xdr:rowOff>
        </xdr:from>
        <xdr:to>
          <xdr:col>6</xdr:col>
          <xdr:colOff>828675</xdr:colOff>
          <xdr:row>1</xdr:row>
          <xdr:rowOff>0</xdr:rowOff>
        </xdr:to>
        <xdr:sp macro="" textlink="">
          <xdr:nvSpPr>
            <xdr:cNvPr id="4108" name="CommandButton13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0</xdr:row>
          <xdr:rowOff>19050</xdr:rowOff>
        </xdr:from>
        <xdr:to>
          <xdr:col>2</xdr:col>
          <xdr:colOff>828675</xdr:colOff>
          <xdr:row>1</xdr:row>
          <xdr:rowOff>0</xdr:rowOff>
        </xdr:to>
        <xdr:sp macro="" textlink="">
          <xdr:nvSpPr>
            <xdr:cNvPr id="4109" name="CommandButton1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38100</xdr:colOff>
          <xdr:row>0</xdr:row>
          <xdr:rowOff>9525</xdr:rowOff>
        </xdr:from>
        <xdr:to>
          <xdr:col>15</xdr:col>
          <xdr:colOff>828675</xdr:colOff>
          <xdr:row>0</xdr:row>
          <xdr:rowOff>419100</xdr:rowOff>
        </xdr:to>
        <xdr:sp macro="" textlink="">
          <xdr:nvSpPr>
            <xdr:cNvPr id="4110" name="CommandButton14" hidden="1">
              <a:extLst>
                <a:ext uri="{63B3BB69-23CF-44E3-9099-C40C66FF867C}">
                  <a14:compatExt spid="_x0000_s4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0</xdr:row>
          <xdr:rowOff>19050</xdr:rowOff>
        </xdr:from>
        <xdr:to>
          <xdr:col>14</xdr:col>
          <xdr:colOff>819150</xdr:colOff>
          <xdr:row>1</xdr:row>
          <xdr:rowOff>0</xdr:rowOff>
        </xdr:to>
        <xdr:sp macro="" textlink="">
          <xdr:nvSpPr>
            <xdr:cNvPr id="4111" name="CommandButton15" hidden="1">
              <a:extLst>
                <a:ext uri="{63B3BB69-23CF-44E3-9099-C40C66FF867C}">
                  <a14:compatExt spid="_x0000_s4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0</xdr:row>
          <xdr:rowOff>9525</xdr:rowOff>
        </xdr:from>
        <xdr:to>
          <xdr:col>17</xdr:col>
          <xdr:colOff>819150</xdr:colOff>
          <xdr:row>0</xdr:row>
          <xdr:rowOff>419100</xdr:rowOff>
        </xdr:to>
        <xdr:sp macro="" textlink="">
          <xdr:nvSpPr>
            <xdr:cNvPr id="4112" name="CommandButton16" hidden="1">
              <a:extLst>
                <a:ext uri="{63B3BB69-23CF-44E3-9099-C40C66FF867C}">
                  <a14:compatExt spid="_x0000_s4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95250</xdr:colOff>
          <xdr:row>0</xdr:row>
          <xdr:rowOff>9525</xdr:rowOff>
        </xdr:from>
        <xdr:to>
          <xdr:col>18</xdr:col>
          <xdr:colOff>800100</xdr:colOff>
          <xdr:row>0</xdr:row>
          <xdr:rowOff>409575</xdr:rowOff>
        </xdr:to>
        <xdr:sp macro="" textlink="">
          <xdr:nvSpPr>
            <xdr:cNvPr id="4113" name="CommandButton17" hidden="1">
              <a:extLst>
                <a:ext uri="{63B3BB69-23CF-44E3-9099-C40C66FF867C}">
                  <a14:compatExt spid="_x0000_s4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0</xdr:row>
          <xdr:rowOff>9525</xdr:rowOff>
        </xdr:from>
        <xdr:to>
          <xdr:col>11</xdr:col>
          <xdr:colOff>742950</xdr:colOff>
          <xdr:row>0</xdr:row>
          <xdr:rowOff>333375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0</xdr:row>
          <xdr:rowOff>19050</xdr:rowOff>
        </xdr:from>
        <xdr:to>
          <xdr:col>12</xdr:col>
          <xdr:colOff>733425</xdr:colOff>
          <xdr:row>0</xdr:row>
          <xdr:rowOff>342900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0</xdr:row>
          <xdr:rowOff>19050</xdr:rowOff>
        </xdr:from>
        <xdr:to>
          <xdr:col>13</xdr:col>
          <xdr:colOff>809625</xdr:colOff>
          <xdr:row>0</xdr:row>
          <xdr:rowOff>333375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1</xdr:row>
          <xdr:rowOff>28575</xdr:rowOff>
        </xdr:from>
        <xdr:to>
          <xdr:col>17</xdr:col>
          <xdr:colOff>400050</xdr:colOff>
          <xdr:row>1</xdr:row>
          <xdr:rowOff>200025</xdr:rowOff>
        </xdr:to>
        <xdr:sp macro="" textlink="">
          <xdr:nvSpPr>
            <xdr:cNvPr id="2049" name="CommandButton2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0</xdr:row>
          <xdr:rowOff>28575</xdr:rowOff>
        </xdr:from>
        <xdr:to>
          <xdr:col>9</xdr:col>
          <xdr:colOff>409575</xdr:colOff>
          <xdr:row>1</xdr:row>
          <xdr:rowOff>0</xdr:rowOff>
        </xdr:to>
        <xdr:sp macro="" textlink="">
          <xdr:nvSpPr>
            <xdr:cNvPr id="2050" name="CommandButton3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0</xdr:row>
          <xdr:rowOff>28575</xdr:rowOff>
        </xdr:from>
        <xdr:to>
          <xdr:col>10</xdr:col>
          <xdr:colOff>390525</xdr:colOff>
          <xdr:row>1</xdr:row>
          <xdr:rowOff>0</xdr:rowOff>
        </xdr:to>
        <xdr:sp macro="" textlink="">
          <xdr:nvSpPr>
            <xdr:cNvPr id="2051" name="CommandButton4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0</xdr:row>
          <xdr:rowOff>28575</xdr:rowOff>
        </xdr:from>
        <xdr:to>
          <xdr:col>12</xdr:col>
          <xdr:colOff>419100</xdr:colOff>
          <xdr:row>1</xdr:row>
          <xdr:rowOff>0</xdr:rowOff>
        </xdr:to>
        <xdr:sp macro="" textlink="">
          <xdr:nvSpPr>
            <xdr:cNvPr id="2052" name="CommandButton5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28575</xdr:rowOff>
        </xdr:from>
        <xdr:to>
          <xdr:col>1</xdr:col>
          <xdr:colOff>219075</xdr:colOff>
          <xdr:row>1</xdr:row>
          <xdr:rowOff>0</xdr:rowOff>
        </xdr:to>
        <xdr:sp macro="" textlink="">
          <xdr:nvSpPr>
            <xdr:cNvPr id="2053" name="CommandButton6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0</xdr:row>
          <xdr:rowOff>28575</xdr:rowOff>
        </xdr:from>
        <xdr:to>
          <xdr:col>11</xdr:col>
          <xdr:colOff>419100</xdr:colOff>
          <xdr:row>1</xdr:row>
          <xdr:rowOff>0</xdr:rowOff>
        </xdr:to>
        <xdr:sp macro="" textlink="">
          <xdr:nvSpPr>
            <xdr:cNvPr id="2057" name="CommandButton1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0</xdr:row>
          <xdr:rowOff>28575</xdr:rowOff>
        </xdr:from>
        <xdr:to>
          <xdr:col>7</xdr:col>
          <xdr:colOff>390525</xdr:colOff>
          <xdr:row>1</xdr:row>
          <xdr:rowOff>0</xdr:rowOff>
        </xdr:to>
        <xdr:sp macro="" textlink="">
          <xdr:nvSpPr>
            <xdr:cNvPr id="2059" name="CommandButton7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0</xdr:row>
          <xdr:rowOff>19050</xdr:rowOff>
        </xdr:from>
        <xdr:to>
          <xdr:col>8</xdr:col>
          <xdr:colOff>400050</xdr:colOff>
          <xdr:row>0</xdr:row>
          <xdr:rowOff>266700</xdr:rowOff>
        </xdr:to>
        <xdr:sp macro="" textlink="">
          <xdr:nvSpPr>
            <xdr:cNvPr id="2061" name="CommandButton8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9524</xdr:colOff>
          <xdr:row>0</xdr:row>
          <xdr:rowOff>9525</xdr:rowOff>
        </xdr:from>
        <xdr:to>
          <xdr:col>7</xdr:col>
          <xdr:colOff>10583</xdr:colOff>
          <xdr:row>0</xdr:row>
          <xdr:rowOff>328083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19050</xdr:rowOff>
        </xdr:from>
        <xdr:to>
          <xdr:col>2</xdr:col>
          <xdr:colOff>666750</xdr:colOff>
          <xdr:row>0</xdr:row>
          <xdr:rowOff>266700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外部資料_119" headers="0" backgroundRefresh="0" growShrinkType="overwriteClear" removeDataOnSave="1" preserveFormatting="0" adjustColumnWidth="0" connectionId="6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外部資料_120" headers="0" backgroundRefresh="0" growShrinkType="overwriteClear" removeDataOnSave="1" preserveFormatting="0" adjustColumnWidth="0" connectionId="6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外部資料_87" headers="0" backgroundRefresh="0" growShrinkType="overwriteClear" removeDataOnSave="1" preserveFormatting="0" adjustColumnWidth="0" connectionId="6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外部資料_95" headers="0" backgroundRefresh="0" growShrinkType="overwriteClear" removeDataOnSave="1" preserveFormatting="0" adjustColumnWidth="0" connectionId="1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外部資料_123" headers="0" backgroundRefresh="0" growShrinkType="overwriteClear" removeDataOnSave="1" preserveFormatting="0" adjustColumnWidth="0" connectionId="67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外部資料_124" headers="0" backgroundRefresh="0" growShrinkType="overwriteClear" removeDataOnSave="1" preserveFormatting="0" adjustColumnWidth="0" connectionId="69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外部資料_100" headers="0" backgroundRefresh="0" growShrinkType="overwriteClear" removeDataOnSave="1" preserveFormatting="0" adjustColumnWidth="0" connectionId="32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外部資料_96" headers="0" backgroundRefresh="0" growShrinkType="overwriteClear" removeDataOnSave="1" preserveFormatting="0" adjustColumnWidth="0" connectionId="16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外部資料_84" headers="0" backgroundRefresh="0" growShrinkType="overwriteClear" removeDataOnSave="1" preserveFormatting="0" adjustColumnWidth="0" connectionId="25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外部資料_85" headers="0" backgroundRefresh="0" growShrinkType="overwriteClear" removeDataOnSave="1" preserveFormatting="0" adjustColumnWidth="0" connectionId="43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外部資料_122" headers="0" backgroundRefresh="0" growShrinkType="overwriteClear" removeDataOnSave="1" preserveFormatting="0" adjustColumnWidth="0" connectionId="66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外部資料_101" headers="0" backgroundRefresh="0" growShrinkType="overwriteClear" removeDataOnSave="1" preserveFormatting="0" adjustColumnWidth="0" connectionId="3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外部資料_91" headers="0" backgroundRefresh="0" growShrinkType="overwriteClear" removeDataOnSave="1" preserveFormatting="0" adjustColumnWidth="0" connectionId="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外部資料_110" headers="0" backgroundRefresh="0" growShrinkType="overwriteClear" removeDataOnSave="1" preserveFormatting="0" adjustColumnWidth="0" connectionId="4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外部資料_111" headers="0" backgroundRefresh="0" growShrinkType="overwriteClear" removeDataOnSave="1" preserveFormatting="0" adjustColumnWidth="0" connectionId="49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外部資料_94" headers="0" backgroundRefresh="0" growShrinkType="overwriteClear" removeDataOnSave="1" preserveFormatting="0" adjustColumnWidth="0" connectionId="1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外部資料_109" headers="0" backgroundRefresh="0" growShrinkType="overwriteClear" removeDataOnSave="1" preserveFormatting="0" adjustColumnWidth="0" connectionId="4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外部資料_112" headers="0" backgroundRefresh="0" growShrinkType="overwriteClear" removeDataOnSave="1" preserveFormatting="0" adjustColumnWidth="0" connectionId="50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外部資料_105" headers="0" backgroundRefresh="0" growShrinkType="overwriteClear" removeDataOnSave="1" preserveFormatting="0" adjustColumnWidth="0" connectionId="41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外部資料_89" headers="0" backgroundRefresh="0" growShrinkType="overwriteClear" removeDataOnSave="1" preserveFormatting="0" adjustColumnWidth="0" connectionId="83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外部資料_108" headers="0" backgroundRefresh="0" growShrinkType="overwriteClear" removeDataOnSave="1" preserveFormatting="0" adjustColumnWidth="0" connectionId="45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外部資料_106" headers="0" backgroundRefresh="0" growShrinkType="overwriteClear" removeDataOnSave="1" preserveFormatting="0" adjustColumnWidth="0" connectionId="4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外部資料_104" headers="0" backgroundRefresh="0" growShrinkType="overwriteClear" removeDataOnSave="1" preserveFormatting="0" adjustColumnWidth="0" connectionId="3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外部資料_113" headers="0" backgroundRefresh="0" growShrinkType="overwriteClear" removeDataOnSave="1" preserveFormatting="0" adjustColumnWidth="0" connectionId="56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外部資料_118" headers="0" backgroundRefresh="0" growShrinkType="overwriteClear" removeDataOnSave="1" preserveFormatting="0" adjustColumnWidth="0" connectionId="6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外部資料_92" headers="0" backgroundRefresh="0" growShrinkType="overwriteClear" removeDataOnSave="1" preserveFormatting="0" adjustColumnWidth="0" connectionId="7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外部資料_117" headers="0" backgroundRefresh="0" growShrinkType="overwriteClear" removeDataOnSave="1" preserveFormatting="0" adjustColumnWidth="0" connectionId="6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外部資料_107" headers="0" backgroundRefresh="0" growShrinkType="overwriteClear" removeDataOnSave="1" preserveFormatting="0" adjustColumnWidth="0" connectionId="44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外部資料_114" headers="0" backgroundRefresh="0" growShrinkType="overwriteClear" removeDataOnSave="1" preserveFormatting="0" adjustColumnWidth="0" connectionId="57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外部資料_121" headers="0" backgroundRefresh="0" growShrinkType="overwriteClear" removeDataOnSave="1" preserveFormatting="0" adjustColumnWidth="0" connectionId="6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外部資料_97" headers="0" backgroundRefresh="0" growShrinkType="overwriteClear" removeDataOnSave="1" preserveFormatting="0" adjustColumnWidth="0" connectionId="2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外部資料_93" headers="0" backgroundRefresh="0" growShrinkType="overwriteClear" removeDataOnSave="1" preserveFormatting="0" adjustColumnWidth="0" connectionId="1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外部資料_86" headers="0" backgroundRefresh="0" growShrinkType="overwriteClear" removeDataOnSave="1" preserveFormatting="0" adjustColumnWidth="0" connectionId="58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外部資料_88" headers="0" backgroundRefresh="0" growShrinkType="overwriteClear" removeDataOnSave="1" preserveFormatting="0" adjustColumnWidth="0" connectionId="77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外部資料_103" headers="0" backgroundRefresh="0" growShrinkType="overwriteClear" removeDataOnSave="1" preserveFormatting="0" adjustColumnWidth="0" connectionId="3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外部資料_99" headers="0" backgroundRefresh="0" growShrinkType="overwriteClear" removeDataOnSave="1" preserveFormatting="0" adjustColumnWidth="0" connectionId="3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外部資料_98" headers="0" backgroundRefresh="0" growShrinkType="overwriteClear" removeDataOnSave="1" preserveFormatting="0" adjustColumnWidth="0" connectionId="2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外部資料_90" headers="0" backgroundRefresh="0" growShrinkType="overwriteClear" removeDataOnSave="1" preserveFormatting="0" adjustColumnWidth="0" connectionId="8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外部資料_102" headers="0" backgroundRefresh="0" growShrinkType="overwriteClear" removeDataOnSave="1" preserveFormatting="0" adjustColumnWidth="0" connectionId="3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外部資料_115" headers="0" backgroundRefresh="0" growShrinkType="overwriteClear" removeDataOnSave="1" preserveFormatting="0" adjustColumnWidth="0" connectionId="59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外部資料_116" headers="0" backgroundRefresh="0" growShrinkType="overwriteClear" removeDataOnSave="1" preserveFormatting="0" adjustColumnWidth="0" connectionId="6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tdcc.com.tw/smWeb/QryStock.jsp" TargetMode="Externa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.emf"/><Relationship Id="rId18" Type="http://schemas.openxmlformats.org/officeDocument/2006/relationships/control" Target="../activeX/activeX5.xml"/><Relationship Id="rId26" Type="http://schemas.openxmlformats.org/officeDocument/2006/relationships/control" Target="../activeX/activeX9.xml"/><Relationship Id="rId39" Type="http://schemas.openxmlformats.org/officeDocument/2006/relationships/image" Target="../media/image15.emf"/><Relationship Id="rId21" Type="http://schemas.openxmlformats.org/officeDocument/2006/relationships/image" Target="../media/image6.emf"/><Relationship Id="rId34" Type="http://schemas.openxmlformats.org/officeDocument/2006/relationships/control" Target="../activeX/activeX13.xml"/><Relationship Id="rId42" Type="http://schemas.openxmlformats.org/officeDocument/2006/relationships/control" Target="../activeX/activeX17.xml"/><Relationship Id="rId47" Type="http://schemas.openxmlformats.org/officeDocument/2006/relationships/image" Target="../media/image19.emf"/><Relationship Id="rId50" Type="http://schemas.openxmlformats.org/officeDocument/2006/relationships/control" Target="../activeX/activeX21.xml"/><Relationship Id="rId55" Type="http://schemas.openxmlformats.org/officeDocument/2006/relationships/image" Target="../media/image23.emf"/><Relationship Id="rId7" Type="http://schemas.openxmlformats.org/officeDocument/2006/relationships/printerSettings" Target="../printerSettings/printerSettings2.bin"/><Relationship Id="rId2" Type="http://schemas.openxmlformats.org/officeDocument/2006/relationships/hyperlink" Target="https://tw.stock.yahoo.com/pf/pfsel?stocklist=8416;" TargetMode="External"/><Relationship Id="rId16" Type="http://schemas.openxmlformats.org/officeDocument/2006/relationships/control" Target="../activeX/activeX4.xml"/><Relationship Id="rId29" Type="http://schemas.openxmlformats.org/officeDocument/2006/relationships/image" Target="../media/image10.emf"/><Relationship Id="rId11" Type="http://schemas.openxmlformats.org/officeDocument/2006/relationships/image" Target="../media/image1.emf"/><Relationship Id="rId24" Type="http://schemas.openxmlformats.org/officeDocument/2006/relationships/control" Target="../activeX/activeX8.xml"/><Relationship Id="rId32" Type="http://schemas.openxmlformats.org/officeDocument/2006/relationships/control" Target="../activeX/activeX12.xml"/><Relationship Id="rId37" Type="http://schemas.openxmlformats.org/officeDocument/2006/relationships/image" Target="../media/image14.emf"/><Relationship Id="rId40" Type="http://schemas.openxmlformats.org/officeDocument/2006/relationships/control" Target="../activeX/activeX16.xml"/><Relationship Id="rId45" Type="http://schemas.openxmlformats.org/officeDocument/2006/relationships/image" Target="../media/image18.emf"/><Relationship Id="rId53" Type="http://schemas.openxmlformats.org/officeDocument/2006/relationships/image" Target="../media/image22.emf"/><Relationship Id="rId58" Type="http://schemas.openxmlformats.org/officeDocument/2006/relationships/control" Target="../activeX/activeX25.xml"/><Relationship Id="rId5" Type="http://schemas.openxmlformats.org/officeDocument/2006/relationships/hyperlink" Target="https://tw.rd.yahoo.com/referurl/stock/other/SIG=125v47s73/**https:/tw.screener.finance.yahoo.net/screener/check.html?symid=8416" TargetMode="External"/><Relationship Id="rId61" Type="http://schemas.openxmlformats.org/officeDocument/2006/relationships/image" Target="../media/image26.emf"/><Relationship Id="rId19" Type="http://schemas.openxmlformats.org/officeDocument/2006/relationships/image" Target="../media/image5.emf"/><Relationship Id="rId14" Type="http://schemas.openxmlformats.org/officeDocument/2006/relationships/control" Target="../activeX/activeX3.xml"/><Relationship Id="rId22" Type="http://schemas.openxmlformats.org/officeDocument/2006/relationships/control" Target="../activeX/activeX7.xml"/><Relationship Id="rId27" Type="http://schemas.openxmlformats.org/officeDocument/2006/relationships/image" Target="../media/image9.emf"/><Relationship Id="rId30" Type="http://schemas.openxmlformats.org/officeDocument/2006/relationships/control" Target="../activeX/activeX11.xml"/><Relationship Id="rId35" Type="http://schemas.openxmlformats.org/officeDocument/2006/relationships/image" Target="../media/image13.emf"/><Relationship Id="rId43" Type="http://schemas.openxmlformats.org/officeDocument/2006/relationships/image" Target="../media/image17.emf"/><Relationship Id="rId48" Type="http://schemas.openxmlformats.org/officeDocument/2006/relationships/control" Target="../activeX/activeX20.xml"/><Relationship Id="rId56" Type="http://schemas.openxmlformats.org/officeDocument/2006/relationships/control" Target="../activeX/activeX24.xml"/><Relationship Id="rId8" Type="http://schemas.openxmlformats.org/officeDocument/2006/relationships/drawing" Target="../drawings/drawing1.xml"/><Relationship Id="rId51" Type="http://schemas.openxmlformats.org/officeDocument/2006/relationships/image" Target="../media/image21.emf"/><Relationship Id="rId3" Type="http://schemas.openxmlformats.org/officeDocument/2006/relationships/hyperlink" Target="https://tw.stock.yahoo.com/pf/pfsel?stocklist=8416;" TargetMode="External"/><Relationship Id="rId12" Type="http://schemas.openxmlformats.org/officeDocument/2006/relationships/control" Target="../activeX/activeX2.xml"/><Relationship Id="rId17" Type="http://schemas.openxmlformats.org/officeDocument/2006/relationships/image" Target="../media/image4.emf"/><Relationship Id="rId25" Type="http://schemas.openxmlformats.org/officeDocument/2006/relationships/image" Target="../media/image8.emf"/><Relationship Id="rId33" Type="http://schemas.openxmlformats.org/officeDocument/2006/relationships/image" Target="../media/image12.emf"/><Relationship Id="rId38" Type="http://schemas.openxmlformats.org/officeDocument/2006/relationships/control" Target="../activeX/activeX15.xml"/><Relationship Id="rId46" Type="http://schemas.openxmlformats.org/officeDocument/2006/relationships/control" Target="../activeX/activeX19.xml"/><Relationship Id="rId59" Type="http://schemas.openxmlformats.org/officeDocument/2006/relationships/image" Target="../media/image25.emf"/><Relationship Id="rId20" Type="http://schemas.openxmlformats.org/officeDocument/2006/relationships/control" Target="../activeX/activeX6.xml"/><Relationship Id="rId41" Type="http://schemas.openxmlformats.org/officeDocument/2006/relationships/image" Target="../media/image16.emf"/><Relationship Id="rId54" Type="http://schemas.openxmlformats.org/officeDocument/2006/relationships/control" Target="../activeX/activeX23.xml"/><Relationship Id="rId62" Type="http://schemas.openxmlformats.org/officeDocument/2006/relationships/comments" Target="../comments1.xml"/><Relationship Id="rId1" Type="http://schemas.openxmlformats.org/officeDocument/2006/relationships/hyperlink" Target="https://tw.stock.yahoo.com/q/bc?s=8416" TargetMode="External"/><Relationship Id="rId6" Type="http://schemas.openxmlformats.org/officeDocument/2006/relationships/hyperlink" Target="javascript:%20CheckP(document.orderform,%20'Z',%20'/fcgi-bin/orderpage.fcg');" TargetMode="External"/><Relationship Id="rId15" Type="http://schemas.openxmlformats.org/officeDocument/2006/relationships/image" Target="../media/image3.emf"/><Relationship Id="rId23" Type="http://schemas.openxmlformats.org/officeDocument/2006/relationships/image" Target="../media/image7.emf"/><Relationship Id="rId28" Type="http://schemas.openxmlformats.org/officeDocument/2006/relationships/control" Target="../activeX/activeX10.xml"/><Relationship Id="rId36" Type="http://schemas.openxmlformats.org/officeDocument/2006/relationships/control" Target="../activeX/activeX14.xml"/><Relationship Id="rId49" Type="http://schemas.openxmlformats.org/officeDocument/2006/relationships/image" Target="../media/image20.emf"/><Relationship Id="rId57" Type="http://schemas.openxmlformats.org/officeDocument/2006/relationships/image" Target="../media/image24.emf"/><Relationship Id="rId10" Type="http://schemas.openxmlformats.org/officeDocument/2006/relationships/control" Target="../activeX/activeX1.xml"/><Relationship Id="rId31" Type="http://schemas.openxmlformats.org/officeDocument/2006/relationships/image" Target="../media/image11.emf"/><Relationship Id="rId44" Type="http://schemas.openxmlformats.org/officeDocument/2006/relationships/control" Target="../activeX/activeX18.xml"/><Relationship Id="rId52" Type="http://schemas.openxmlformats.org/officeDocument/2006/relationships/control" Target="../activeX/activeX22.xml"/><Relationship Id="rId60" Type="http://schemas.openxmlformats.org/officeDocument/2006/relationships/control" Target="../activeX/activeX26.xml"/><Relationship Id="rId4" Type="http://schemas.openxmlformats.org/officeDocument/2006/relationships/hyperlink" Target="https://tw.stock.yahoo.com/q/ts?s=8416" TargetMode="External"/><Relationship Id="rId9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13" Type="http://schemas.openxmlformats.org/officeDocument/2006/relationships/image" Target="../media/image31.emf"/><Relationship Id="rId18" Type="http://schemas.openxmlformats.org/officeDocument/2006/relationships/control" Target="../activeX/activeX34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35.emf"/><Relationship Id="rId7" Type="http://schemas.openxmlformats.org/officeDocument/2006/relationships/image" Target="../media/image28.emf"/><Relationship Id="rId12" Type="http://schemas.openxmlformats.org/officeDocument/2006/relationships/control" Target="../activeX/activeX31.xml"/><Relationship Id="rId17" Type="http://schemas.openxmlformats.org/officeDocument/2006/relationships/image" Target="../media/image33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33.xml"/><Relationship Id="rId20" Type="http://schemas.openxmlformats.org/officeDocument/2006/relationships/control" Target="../activeX/activeX35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8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30.xml"/><Relationship Id="rId19" Type="http://schemas.openxmlformats.org/officeDocument/2006/relationships/image" Target="../media/image34.emf"/><Relationship Id="rId4" Type="http://schemas.openxmlformats.org/officeDocument/2006/relationships/control" Target="../activeX/activeX27.xml"/><Relationship Id="rId9" Type="http://schemas.openxmlformats.org/officeDocument/2006/relationships/image" Target="../media/image29.emf"/><Relationship Id="rId14" Type="http://schemas.openxmlformats.org/officeDocument/2006/relationships/control" Target="../activeX/activeX32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25.xml"/><Relationship Id="rId21" Type="http://schemas.openxmlformats.org/officeDocument/2006/relationships/hyperlink" Target="http://norway.twsthr.info/StockHolders.aspx?stock=3323" TargetMode="External"/><Relationship Id="rId42" Type="http://schemas.openxmlformats.org/officeDocument/2006/relationships/hyperlink" Target="http://norway.twsthr.info/StockHolders.aspx?stock=6274" TargetMode="External"/><Relationship Id="rId63" Type="http://schemas.openxmlformats.org/officeDocument/2006/relationships/control" Target="../activeX/activeX38.xml"/><Relationship Id="rId84" Type="http://schemas.openxmlformats.org/officeDocument/2006/relationships/image" Target="../media/image48.emf"/><Relationship Id="rId16" Type="http://schemas.openxmlformats.org/officeDocument/2006/relationships/hyperlink" Target="http://norway.twsthr.info/StockHolders.aspx?stock=2515" TargetMode="External"/><Relationship Id="rId107" Type="http://schemas.openxmlformats.org/officeDocument/2006/relationships/queryTable" Target="../queryTables/queryTable15.xml"/><Relationship Id="rId11" Type="http://schemas.openxmlformats.org/officeDocument/2006/relationships/hyperlink" Target="http://norway.twsthr.info/StockHolders.aspx?stock=1506" TargetMode="External"/><Relationship Id="rId32" Type="http://schemas.openxmlformats.org/officeDocument/2006/relationships/hyperlink" Target="http://norway.twsthr.info/StockHolders.aspx?stock=4947" TargetMode="External"/><Relationship Id="rId37" Type="http://schemas.openxmlformats.org/officeDocument/2006/relationships/hyperlink" Target="http://norway.twsthr.info/StockHolders.aspx?stock=6151" TargetMode="External"/><Relationship Id="rId53" Type="http://schemas.openxmlformats.org/officeDocument/2006/relationships/hyperlink" Target="http://www.emega.com.tw/z/zc/zcn/zcn.djhtm?a=4105&amp;b=4" TargetMode="External"/><Relationship Id="rId58" Type="http://schemas.openxmlformats.org/officeDocument/2006/relationships/vmlDrawing" Target="../drawings/vmlDrawing3.vml"/><Relationship Id="rId74" Type="http://schemas.openxmlformats.org/officeDocument/2006/relationships/image" Target="../media/image43.emf"/><Relationship Id="rId79" Type="http://schemas.openxmlformats.org/officeDocument/2006/relationships/control" Target="../activeX/activeX46.xml"/><Relationship Id="rId102" Type="http://schemas.openxmlformats.org/officeDocument/2006/relationships/queryTable" Target="../queryTables/queryTable10.xml"/><Relationship Id="rId123" Type="http://schemas.openxmlformats.org/officeDocument/2006/relationships/queryTable" Target="../queryTables/queryTable31.xml"/><Relationship Id="rId128" Type="http://schemas.openxmlformats.org/officeDocument/2006/relationships/queryTable" Target="../queryTables/queryTable36.xml"/><Relationship Id="rId5" Type="http://schemas.openxmlformats.org/officeDocument/2006/relationships/hyperlink" Target="https://tw.stock.yahoo.com/d/s/earning_3163.html" TargetMode="External"/><Relationship Id="rId90" Type="http://schemas.openxmlformats.org/officeDocument/2006/relationships/image" Target="../media/image51.emf"/><Relationship Id="rId95" Type="http://schemas.openxmlformats.org/officeDocument/2006/relationships/queryTable" Target="../queryTables/queryTable3.xml"/><Relationship Id="rId22" Type="http://schemas.openxmlformats.org/officeDocument/2006/relationships/hyperlink" Target="http://norway.twsthr.info/StockHolders.aspx?stock=3533" TargetMode="External"/><Relationship Id="rId27" Type="http://schemas.openxmlformats.org/officeDocument/2006/relationships/hyperlink" Target="http://norway.twsthr.info/StockHolders.aspx?stock=3689" TargetMode="External"/><Relationship Id="rId43" Type="http://schemas.openxmlformats.org/officeDocument/2006/relationships/hyperlink" Target="http://norway.twsthr.info/StockHolders.aspx?stock=6506" TargetMode="External"/><Relationship Id="rId48" Type="http://schemas.openxmlformats.org/officeDocument/2006/relationships/hyperlink" Target="http://norway.twsthr.info/StockHolders.aspx?stock=9942" TargetMode="External"/><Relationship Id="rId64" Type="http://schemas.openxmlformats.org/officeDocument/2006/relationships/image" Target="../media/image38.emf"/><Relationship Id="rId69" Type="http://schemas.openxmlformats.org/officeDocument/2006/relationships/control" Target="../activeX/activeX41.xml"/><Relationship Id="rId113" Type="http://schemas.openxmlformats.org/officeDocument/2006/relationships/queryTable" Target="../queryTables/queryTable21.xml"/><Relationship Id="rId118" Type="http://schemas.openxmlformats.org/officeDocument/2006/relationships/queryTable" Target="../queryTables/queryTable26.xml"/><Relationship Id="rId80" Type="http://schemas.openxmlformats.org/officeDocument/2006/relationships/image" Target="../media/image46.emf"/><Relationship Id="rId85" Type="http://schemas.openxmlformats.org/officeDocument/2006/relationships/control" Target="../activeX/activeX49.xml"/><Relationship Id="rId12" Type="http://schemas.openxmlformats.org/officeDocument/2006/relationships/hyperlink" Target="http://norway.twsthr.info/StockHolders.aspx?stock=1565" TargetMode="External"/><Relationship Id="rId17" Type="http://schemas.openxmlformats.org/officeDocument/2006/relationships/hyperlink" Target="http://norway.twsthr.info/StockHolders.aspx?stock=3018" TargetMode="External"/><Relationship Id="rId33" Type="http://schemas.openxmlformats.org/officeDocument/2006/relationships/hyperlink" Target="http://norway.twsthr.info/StockHolders.aspx?stock=5310" TargetMode="External"/><Relationship Id="rId38" Type="http://schemas.openxmlformats.org/officeDocument/2006/relationships/hyperlink" Target="http://norway.twsthr.info/StockHolders.aspx?stock=6180" TargetMode="External"/><Relationship Id="rId59" Type="http://schemas.openxmlformats.org/officeDocument/2006/relationships/control" Target="../activeX/activeX36.xml"/><Relationship Id="rId103" Type="http://schemas.openxmlformats.org/officeDocument/2006/relationships/queryTable" Target="../queryTables/queryTable11.xml"/><Relationship Id="rId108" Type="http://schemas.openxmlformats.org/officeDocument/2006/relationships/queryTable" Target="../queryTables/queryTable16.xml"/><Relationship Id="rId124" Type="http://schemas.openxmlformats.org/officeDocument/2006/relationships/queryTable" Target="../queryTables/queryTable32.xml"/><Relationship Id="rId129" Type="http://schemas.openxmlformats.org/officeDocument/2006/relationships/queryTable" Target="../queryTables/queryTable37.xml"/><Relationship Id="rId54" Type="http://schemas.openxmlformats.org/officeDocument/2006/relationships/hyperlink" Target="http://www.emega.com.tw/z/zc/zcn/zcn.djhtm?a=4119&amp;b=4" TargetMode="External"/><Relationship Id="rId70" Type="http://schemas.openxmlformats.org/officeDocument/2006/relationships/image" Target="../media/image41.emf"/><Relationship Id="rId75" Type="http://schemas.openxmlformats.org/officeDocument/2006/relationships/control" Target="../activeX/activeX44.xml"/><Relationship Id="rId91" Type="http://schemas.openxmlformats.org/officeDocument/2006/relationships/control" Target="../activeX/activeX52.xml"/><Relationship Id="rId96" Type="http://schemas.openxmlformats.org/officeDocument/2006/relationships/queryTable" Target="../queryTables/queryTable4.xml"/><Relationship Id="rId1" Type="http://schemas.openxmlformats.org/officeDocument/2006/relationships/hyperlink" Target="https://tw.stock.yahoo.com/d/s/earning_1729.html" TargetMode="External"/><Relationship Id="rId6" Type="http://schemas.openxmlformats.org/officeDocument/2006/relationships/hyperlink" Target="https://tw.stock.yahoo.com/d/s/earning_3205.html" TargetMode="External"/><Relationship Id="rId23" Type="http://schemas.openxmlformats.org/officeDocument/2006/relationships/hyperlink" Target="http://norway.twsthr.info/StockHolders.aspx?stock=3576" TargetMode="External"/><Relationship Id="rId28" Type="http://schemas.openxmlformats.org/officeDocument/2006/relationships/hyperlink" Target="http://norway.twsthr.info/StockHolders.aspx?stock=4105" TargetMode="External"/><Relationship Id="rId49" Type="http://schemas.openxmlformats.org/officeDocument/2006/relationships/hyperlink" Target="http://www.emega.com.tw/z/zc/zcn/zcn.djhtm?a=1413&amp;b=4" TargetMode="External"/><Relationship Id="rId114" Type="http://schemas.openxmlformats.org/officeDocument/2006/relationships/queryTable" Target="../queryTables/queryTable22.xml"/><Relationship Id="rId119" Type="http://schemas.openxmlformats.org/officeDocument/2006/relationships/queryTable" Target="../queryTables/queryTable27.xml"/><Relationship Id="rId44" Type="http://schemas.openxmlformats.org/officeDocument/2006/relationships/hyperlink" Target="http://norway.twsthr.info/StockHolders.aspx?stock=8038" TargetMode="External"/><Relationship Id="rId60" Type="http://schemas.openxmlformats.org/officeDocument/2006/relationships/image" Target="../media/image36.emf"/><Relationship Id="rId65" Type="http://schemas.openxmlformats.org/officeDocument/2006/relationships/control" Target="../activeX/activeX39.xml"/><Relationship Id="rId81" Type="http://schemas.openxmlformats.org/officeDocument/2006/relationships/control" Target="../activeX/activeX47.xml"/><Relationship Id="rId86" Type="http://schemas.openxmlformats.org/officeDocument/2006/relationships/image" Target="../media/image49.emf"/><Relationship Id="rId130" Type="http://schemas.openxmlformats.org/officeDocument/2006/relationships/queryTable" Target="../queryTables/queryTable38.xml"/><Relationship Id="rId13" Type="http://schemas.openxmlformats.org/officeDocument/2006/relationships/hyperlink" Target="http://norway.twsthr.info/StockHolders.aspx?stock=2375" TargetMode="External"/><Relationship Id="rId18" Type="http://schemas.openxmlformats.org/officeDocument/2006/relationships/hyperlink" Target="http://norway.twsthr.info/StockHolders.aspx?stock=3094" TargetMode="External"/><Relationship Id="rId39" Type="http://schemas.openxmlformats.org/officeDocument/2006/relationships/hyperlink" Target="http://norway.twsthr.info/StockHolders.aspx?stock=6244" TargetMode="External"/><Relationship Id="rId109" Type="http://schemas.openxmlformats.org/officeDocument/2006/relationships/queryTable" Target="../queryTables/queryTable17.xml"/><Relationship Id="rId34" Type="http://schemas.openxmlformats.org/officeDocument/2006/relationships/hyperlink" Target="http://norway.twsthr.info/StockHolders.aspx?stock=5356" TargetMode="External"/><Relationship Id="rId50" Type="http://schemas.openxmlformats.org/officeDocument/2006/relationships/hyperlink" Target="http://www.emega.com.tw/z/zc/zcn/zcn.djhtm?a=2383&amp;b=4" TargetMode="External"/><Relationship Id="rId55" Type="http://schemas.openxmlformats.org/officeDocument/2006/relationships/hyperlink" Target="http://www.emega.com.tw/z/zc/zcn/zcn.djhtm?a=6180&amp;b=4" TargetMode="External"/><Relationship Id="rId76" Type="http://schemas.openxmlformats.org/officeDocument/2006/relationships/image" Target="../media/image44.emf"/><Relationship Id="rId97" Type="http://schemas.openxmlformats.org/officeDocument/2006/relationships/queryTable" Target="../queryTables/queryTable5.xml"/><Relationship Id="rId104" Type="http://schemas.openxmlformats.org/officeDocument/2006/relationships/queryTable" Target="../queryTables/queryTable12.xml"/><Relationship Id="rId120" Type="http://schemas.openxmlformats.org/officeDocument/2006/relationships/queryTable" Target="../queryTables/queryTable28.xml"/><Relationship Id="rId125" Type="http://schemas.openxmlformats.org/officeDocument/2006/relationships/queryTable" Target="../queryTables/queryTable33.xml"/><Relationship Id="rId7" Type="http://schemas.openxmlformats.org/officeDocument/2006/relationships/hyperlink" Target="https://tw.stock.yahoo.com/d/s/earning_3206.html" TargetMode="External"/><Relationship Id="rId71" Type="http://schemas.openxmlformats.org/officeDocument/2006/relationships/control" Target="../activeX/activeX42.xml"/><Relationship Id="rId92" Type="http://schemas.openxmlformats.org/officeDocument/2006/relationships/image" Target="../media/image52.emf"/><Relationship Id="rId2" Type="http://schemas.openxmlformats.org/officeDocument/2006/relationships/hyperlink" Target="https://tw.stock.yahoo.com/d/s/earning_2108.html" TargetMode="External"/><Relationship Id="rId29" Type="http://schemas.openxmlformats.org/officeDocument/2006/relationships/hyperlink" Target="http://norway.twsthr.info/StockHolders.aspx?stock=4119" TargetMode="External"/><Relationship Id="rId24" Type="http://schemas.openxmlformats.org/officeDocument/2006/relationships/hyperlink" Target="http://norway.twsthr.info/StockHolders.aspx?stock=3584" TargetMode="External"/><Relationship Id="rId40" Type="http://schemas.openxmlformats.org/officeDocument/2006/relationships/hyperlink" Target="http://norway.twsthr.info/StockHolders.aspx?stock=6266" TargetMode="External"/><Relationship Id="rId45" Type="http://schemas.openxmlformats.org/officeDocument/2006/relationships/hyperlink" Target="http://norway.twsthr.info/StockHolders.aspx?stock=8039" TargetMode="External"/><Relationship Id="rId66" Type="http://schemas.openxmlformats.org/officeDocument/2006/relationships/image" Target="../media/image39.emf"/><Relationship Id="rId87" Type="http://schemas.openxmlformats.org/officeDocument/2006/relationships/control" Target="../activeX/activeX50.xml"/><Relationship Id="rId110" Type="http://schemas.openxmlformats.org/officeDocument/2006/relationships/queryTable" Target="../queryTables/queryTable18.xml"/><Relationship Id="rId115" Type="http://schemas.openxmlformats.org/officeDocument/2006/relationships/queryTable" Target="../queryTables/queryTable23.xml"/><Relationship Id="rId131" Type="http://schemas.openxmlformats.org/officeDocument/2006/relationships/queryTable" Target="../queryTables/queryTable39.xml"/><Relationship Id="rId61" Type="http://schemas.openxmlformats.org/officeDocument/2006/relationships/control" Target="../activeX/activeX37.xml"/><Relationship Id="rId82" Type="http://schemas.openxmlformats.org/officeDocument/2006/relationships/image" Target="../media/image47.emf"/><Relationship Id="rId19" Type="http://schemas.openxmlformats.org/officeDocument/2006/relationships/hyperlink" Target="http://norway.twsthr.info/StockHolders.aspx?stock=3293" TargetMode="External"/><Relationship Id="rId14" Type="http://schemas.openxmlformats.org/officeDocument/2006/relationships/hyperlink" Target="http://norway.twsthr.info/StockHolders.aspx?stock=2383" TargetMode="External"/><Relationship Id="rId30" Type="http://schemas.openxmlformats.org/officeDocument/2006/relationships/hyperlink" Target="http://norway.twsthr.info/StockHolders.aspx?stock=4401" TargetMode="External"/><Relationship Id="rId35" Type="http://schemas.openxmlformats.org/officeDocument/2006/relationships/hyperlink" Target="http://norway.twsthr.info/StockHolders.aspx?stock=6123" TargetMode="External"/><Relationship Id="rId56" Type="http://schemas.openxmlformats.org/officeDocument/2006/relationships/printerSettings" Target="../printerSettings/printerSettings4.bin"/><Relationship Id="rId77" Type="http://schemas.openxmlformats.org/officeDocument/2006/relationships/control" Target="../activeX/activeX45.xml"/><Relationship Id="rId100" Type="http://schemas.openxmlformats.org/officeDocument/2006/relationships/queryTable" Target="../queryTables/queryTable8.xml"/><Relationship Id="rId105" Type="http://schemas.openxmlformats.org/officeDocument/2006/relationships/queryTable" Target="../queryTables/queryTable13.xml"/><Relationship Id="rId126" Type="http://schemas.openxmlformats.org/officeDocument/2006/relationships/queryTable" Target="../queryTables/queryTable34.xml"/><Relationship Id="rId8" Type="http://schemas.openxmlformats.org/officeDocument/2006/relationships/hyperlink" Target="http://norway.twsthr.info/StockHolders.aspx?stock=1325" TargetMode="External"/><Relationship Id="rId51" Type="http://schemas.openxmlformats.org/officeDocument/2006/relationships/hyperlink" Target="http://www.emega.com.tw/z/zc/zcn/zcn.djhtm?a=2485&amp;b=4" TargetMode="External"/><Relationship Id="rId72" Type="http://schemas.openxmlformats.org/officeDocument/2006/relationships/image" Target="../media/image42.emf"/><Relationship Id="rId93" Type="http://schemas.openxmlformats.org/officeDocument/2006/relationships/queryTable" Target="../queryTables/queryTable1.xml"/><Relationship Id="rId98" Type="http://schemas.openxmlformats.org/officeDocument/2006/relationships/queryTable" Target="../queryTables/queryTable6.xml"/><Relationship Id="rId121" Type="http://schemas.openxmlformats.org/officeDocument/2006/relationships/queryTable" Target="../queryTables/queryTable29.xml"/><Relationship Id="rId3" Type="http://schemas.openxmlformats.org/officeDocument/2006/relationships/hyperlink" Target="https://tw.stock.yahoo.com/d/s/earning_2433.html" TargetMode="External"/><Relationship Id="rId25" Type="http://schemas.openxmlformats.org/officeDocument/2006/relationships/hyperlink" Target="http://norway.twsthr.info/StockHolders.aspx?stock=3591" TargetMode="External"/><Relationship Id="rId46" Type="http://schemas.openxmlformats.org/officeDocument/2006/relationships/hyperlink" Target="http://norway.twsthr.info/StockHolders.aspx?stock=8054" TargetMode="External"/><Relationship Id="rId67" Type="http://schemas.openxmlformats.org/officeDocument/2006/relationships/control" Target="../activeX/activeX40.xml"/><Relationship Id="rId116" Type="http://schemas.openxmlformats.org/officeDocument/2006/relationships/queryTable" Target="../queryTables/queryTable24.xml"/><Relationship Id="rId20" Type="http://schemas.openxmlformats.org/officeDocument/2006/relationships/hyperlink" Target="http://norway.twsthr.info/StockHolders.aspx?stock=3303" TargetMode="External"/><Relationship Id="rId41" Type="http://schemas.openxmlformats.org/officeDocument/2006/relationships/hyperlink" Target="http://norway.twsthr.info/StockHolders.aspx?stock=6270" TargetMode="External"/><Relationship Id="rId62" Type="http://schemas.openxmlformats.org/officeDocument/2006/relationships/image" Target="../media/image37.emf"/><Relationship Id="rId83" Type="http://schemas.openxmlformats.org/officeDocument/2006/relationships/control" Target="../activeX/activeX48.xml"/><Relationship Id="rId88" Type="http://schemas.openxmlformats.org/officeDocument/2006/relationships/image" Target="../media/image50.emf"/><Relationship Id="rId111" Type="http://schemas.openxmlformats.org/officeDocument/2006/relationships/queryTable" Target="../queryTables/queryTable19.xml"/><Relationship Id="rId132" Type="http://schemas.openxmlformats.org/officeDocument/2006/relationships/queryTable" Target="../queryTables/queryTable40.xml"/><Relationship Id="rId15" Type="http://schemas.openxmlformats.org/officeDocument/2006/relationships/hyperlink" Target="http://norway.twsthr.info/StockHolders.aspx?stock=2485" TargetMode="External"/><Relationship Id="rId36" Type="http://schemas.openxmlformats.org/officeDocument/2006/relationships/hyperlink" Target="http://norway.twsthr.info/StockHolders.aspx?stock=6150" TargetMode="External"/><Relationship Id="rId57" Type="http://schemas.openxmlformats.org/officeDocument/2006/relationships/drawing" Target="../drawings/drawing3.xml"/><Relationship Id="rId106" Type="http://schemas.openxmlformats.org/officeDocument/2006/relationships/queryTable" Target="../queryTables/queryTable14.xml"/><Relationship Id="rId127" Type="http://schemas.openxmlformats.org/officeDocument/2006/relationships/queryTable" Target="../queryTables/queryTable35.xml"/><Relationship Id="rId10" Type="http://schemas.openxmlformats.org/officeDocument/2006/relationships/hyperlink" Target="http://norway.twsthr.info/StockHolders.aspx?stock=1445" TargetMode="External"/><Relationship Id="rId31" Type="http://schemas.openxmlformats.org/officeDocument/2006/relationships/hyperlink" Target="http://norway.twsthr.info/StockHolders.aspx?stock=4721" TargetMode="External"/><Relationship Id="rId52" Type="http://schemas.openxmlformats.org/officeDocument/2006/relationships/hyperlink" Target="http://www.emega.com.tw/z/zc/zcn/zcn.djhtm?a=2515&amp;b=4" TargetMode="External"/><Relationship Id="rId73" Type="http://schemas.openxmlformats.org/officeDocument/2006/relationships/control" Target="../activeX/activeX43.xml"/><Relationship Id="rId78" Type="http://schemas.openxmlformats.org/officeDocument/2006/relationships/image" Target="../media/image45.emf"/><Relationship Id="rId94" Type="http://schemas.openxmlformats.org/officeDocument/2006/relationships/queryTable" Target="../queryTables/queryTable2.xml"/><Relationship Id="rId99" Type="http://schemas.openxmlformats.org/officeDocument/2006/relationships/queryTable" Target="../queryTables/queryTable7.xml"/><Relationship Id="rId101" Type="http://schemas.openxmlformats.org/officeDocument/2006/relationships/queryTable" Target="../queryTables/queryTable9.xml"/><Relationship Id="rId122" Type="http://schemas.openxmlformats.org/officeDocument/2006/relationships/queryTable" Target="../queryTables/queryTable30.xml"/><Relationship Id="rId4" Type="http://schemas.openxmlformats.org/officeDocument/2006/relationships/hyperlink" Target="https://tw.stock.yahoo.com/d/s/earning_3152.html" TargetMode="External"/><Relationship Id="rId9" Type="http://schemas.openxmlformats.org/officeDocument/2006/relationships/hyperlink" Target="http://norway.twsthr.info/StockHolders.aspx?stock=1413" TargetMode="External"/><Relationship Id="rId26" Type="http://schemas.openxmlformats.org/officeDocument/2006/relationships/hyperlink" Target="http://norway.twsthr.info/StockHolders.aspx?stock=3663" TargetMode="External"/><Relationship Id="rId47" Type="http://schemas.openxmlformats.org/officeDocument/2006/relationships/hyperlink" Target="http://norway.twsthr.info/StockHolders.aspx?stock=8071" TargetMode="External"/><Relationship Id="rId68" Type="http://schemas.openxmlformats.org/officeDocument/2006/relationships/image" Target="../media/image40.emf"/><Relationship Id="rId89" Type="http://schemas.openxmlformats.org/officeDocument/2006/relationships/control" Target="../activeX/activeX51.xml"/><Relationship Id="rId112" Type="http://schemas.openxmlformats.org/officeDocument/2006/relationships/queryTable" Target="../queryTables/queryTable20.xml"/><Relationship Id="rId133" Type="http://schemas.openxmlformats.org/officeDocument/2006/relationships/queryTable" Target="../queryTables/queryTable4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5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54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4.xml"/><Relationship Id="rId5" Type="http://schemas.openxmlformats.org/officeDocument/2006/relationships/image" Target="../media/image53.emf"/><Relationship Id="rId4" Type="http://schemas.openxmlformats.org/officeDocument/2006/relationships/control" Target="../activeX/activeX53.xml"/><Relationship Id="rId9" Type="http://schemas.openxmlformats.org/officeDocument/2006/relationships/image" Target="../media/image55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13" Type="http://schemas.openxmlformats.org/officeDocument/2006/relationships/image" Target="../media/image60.emf"/><Relationship Id="rId18" Type="http://schemas.openxmlformats.org/officeDocument/2006/relationships/control" Target="../activeX/activeX63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57.emf"/><Relationship Id="rId12" Type="http://schemas.openxmlformats.org/officeDocument/2006/relationships/control" Target="../activeX/activeX60.xml"/><Relationship Id="rId17" Type="http://schemas.openxmlformats.org/officeDocument/2006/relationships/image" Target="../media/image62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62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57.xml"/><Relationship Id="rId11" Type="http://schemas.openxmlformats.org/officeDocument/2006/relationships/image" Target="../media/image59.emf"/><Relationship Id="rId5" Type="http://schemas.openxmlformats.org/officeDocument/2006/relationships/image" Target="../media/image56.emf"/><Relationship Id="rId15" Type="http://schemas.openxmlformats.org/officeDocument/2006/relationships/image" Target="../media/image61.emf"/><Relationship Id="rId10" Type="http://schemas.openxmlformats.org/officeDocument/2006/relationships/control" Target="../activeX/activeX59.xml"/><Relationship Id="rId19" Type="http://schemas.openxmlformats.org/officeDocument/2006/relationships/image" Target="../media/image63.emf"/><Relationship Id="rId4" Type="http://schemas.openxmlformats.org/officeDocument/2006/relationships/control" Target="../activeX/activeX56.xml"/><Relationship Id="rId9" Type="http://schemas.openxmlformats.org/officeDocument/2006/relationships/image" Target="../media/image58.emf"/><Relationship Id="rId14" Type="http://schemas.openxmlformats.org/officeDocument/2006/relationships/control" Target="../activeX/activeX6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65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65.xml"/><Relationship Id="rId5" Type="http://schemas.openxmlformats.org/officeDocument/2006/relationships/image" Target="../media/image64.emf"/><Relationship Id="rId4" Type="http://schemas.openxmlformats.org/officeDocument/2006/relationships/control" Target="../activeX/activeX6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hyperlink" Target="https://tw.stock.yahoo.com/s/list2.php?c=%B4N%B7%7E99&amp;rr=0.76253700%201435595668" TargetMode="External"/><Relationship Id="rId299" Type="http://schemas.openxmlformats.org/officeDocument/2006/relationships/hyperlink" Target="https://tw.stock.yahoo.com/q/bc?s=3499" TargetMode="External"/><Relationship Id="rId21" Type="http://schemas.openxmlformats.org/officeDocument/2006/relationships/hyperlink" Target="https://tw.stock.yahoo.com/s/list.php?c=%C2d%A5%CD%A7%DE&amp;rr=0.76226900%201435595668" TargetMode="External"/><Relationship Id="rId63" Type="http://schemas.openxmlformats.org/officeDocument/2006/relationships/hyperlink" Target="https://tw.stock.yahoo.com/s/list.php?c=%BE%F7%B4%DF&amp;rr=0.76236200%201435595668" TargetMode="External"/><Relationship Id="rId159" Type="http://schemas.openxmlformats.org/officeDocument/2006/relationships/hyperlink" Target="https://tw.stock.yahoo.com/s/list2.php?c=WiMax&amp;rr=0.76266000%201435595668" TargetMode="External"/><Relationship Id="rId170" Type="http://schemas.openxmlformats.org/officeDocument/2006/relationships/hyperlink" Target="https://tw.stock.yahoo.com/s/list2.php?c=4G+LTE&amp;rr=0.76271200%201435595668" TargetMode="External"/><Relationship Id="rId226" Type="http://schemas.openxmlformats.org/officeDocument/2006/relationships/hyperlink" Target="https://tw.stock.yahoo.com/s/list2.php?c=%BDn%B3%D0%B8%EA%B3q&amp;rr=0.76285700%201435595668" TargetMode="External"/><Relationship Id="rId268" Type="http://schemas.openxmlformats.org/officeDocument/2006/relationships/hyperlink" Target="https://tw.stock.yahoo.com/s/list2.php?c=%A4%CD%B9F&amp;rr=0.76296000%201435595668" TargetMode="External"/><Relationship Id="rId32" Type="http://schemas.openxmlformats.org/officeDocument/2006/relationships/hyperlink" Target="https://tw.stock.yahoo.com/s/list.php?c=%C2d%A5L%B9q&amp;rr=0.76228600%201435595668" TargetMode="External"/><Relationship Id="rId74" Type="http://schemas.openxmlformats.org/officeDocument/2006/relationships/hyperlink" Target="https://tw.stock.yahoo.com/s/list.php?c=%A6L%A8%EA%B9q%B8%F4%AAO&amp;rr=0.76238100%201435595668" TargetMode="External"/><Relationship Id="rId128" Type="http://schemas.openxmlformats.org/officeDocument/2006/relationships/hyperlink" Target="https://tw.stock.yahoo.com/s/list2.php?c=%A4%40%B1a%A4%40%B8%F4&amp;rr=0.76257100%201435595668" TargetMode="External"/><Relationship Id="rId5" Type="http://schemas.openxmlformats.org/officeDocument/2006/relationships/hyperlink" Target="https://tw.stock.yahoo.com/s/list.php?c=%AA%F7%BF%C4&amp;rr=0.76224100%201435595668" TargetMode="External"/><Relationship Id="rId181" Type="http://schemas.openxmlformats.org/officeDocument/2006/relationships/hyperlink" Target="https://tw.stock.yahoo.com/s/list2.php?c=%AD%E7%B0%A3%A6%A8%A5%F7&amp;rr=0.76273900%201435595668" TargetMode="External"/><Relationship Id="rId237" Type="http://schemas.openxmlformats.org/officeDocument/2006/relationships/hyperlink" Target="https://tw.stock.yahoo.com/s/list2.php?c=%A5%BF%B6%A9&amp;rr=0.76288700%201435595668" TargetMode="External"/><Relationship Id="rId279" Type="http://schemas.openxmlformats.org/officeDocument/2006/relationships/hyperlink" Target="https://tw.stock.yahoo.com/s/list2.php?c=%A4%A4%BF%FB&amp;rr=0.76298200%201435595668" TargetMode="External"/><Relationship Id="rId43" Type="http://schemas.openxmlformats.org/officeDocument/2006/relationships/hyperlink" Target="https://tw.stock.yahoo.com/s/list.php?c=%C2d%BB%7B%C1%CA&amp;rr=0.76230200%201435595668" TargetMode="External"/><Relationship Id="rId139" Type="http://schemas.openxmlformats.org/officeDocument/2006/relationships/hyperlink" Target="https://tw.stock.yahoo.com/s/list2.php?c=%B4%BC%BCz%AB%B0%A5%AB&amp;rr=0.76260700%201435595668" TargetMode="External"/><Relationship Id="rId290" Type="http://schemas.openxmlformats.org/officeDocument/2006/relationships/hyperlink" Target="https://tw.stock.yahoo.com/s/list2.php?c=%A5x%AAd&amp;rr=0.76301000%201435595668" TargetMode="External"/><Relationship Id="rId304" Type="http://schemas.openxmlformats.org/officeDocument/2006/relationships/hyperlink" Target="javascript:%20CheckP(document.orderform,%20'Z',%20'/fcgi-bin/orderpage.fcg');" TargetMode="External"/><Relationship Id="rId85" Type="http://schemas.openxmlformats.org/officeDocument/2006/relationships/hyperlink" Target="https://tw.stock.yahoo.com/s/list2.php?c=%A5x%B0%D3%A6%AC%A6%A8&amp;rr=0.76243100%201435595668" TargetMode="External"/><Relationship Id="rId150" Type="http://schemas.openxmlformats.org/officeDocument/2006/relationships/hyperlink" Target="https://tw.stock.yahoo.com/s/list2.php?c=NIKE&amp;rr=0.76263700%201435595668" TargetMode="External"/><Relationship Id="rId192" Type="http://schemas.openxmlformats.org/officeDocument/2006/relationships/hyperlink" Target="https://tw.stock.yahoo.com/s/list2.php?c=%B4I%C2d50&amp;rr=0.76276200%201435595668" TargetMode="External"/><Relationship Id="rId206" Type="http://schemas.openxmlformats.org/officeDocument/2006/relationships/hyperlink" Target="https://tw.stock.yahoo.com/s/list2.php?c=%A7%BB%B9F%B9q&amp;rr=0.76279800%201435595668" TargetMode="External"/><Relationship Id="rId248" Type="http://schemas.openxmlformats.org/officeDocument/2006/relationships/hyperlink" Target="https://tw.stock.yahoo.com/s/list2.php?c=%EAM%C1p%BF%FB%C5K&amp;rr=0.76291400%201435595668" TargetMode="External"/><Relationship Id="rId12" Type="http://schemas.openxmlformats.org/officeDocument/2006/relationships/hyperlink" Target="https://tw.stock.yahoo.com/s/list.php?c=%A5%AB%BB%7B%B0%E2&amp;rr=0.76225300%201435595668" TargetMode="External"/><Relationship Id="rId108" Type="http://schemas.openxmlformats.org/officeDocument/2006/relationships/hyperlink" Target="https://tw.stock.yahoo.com/s/list2.php?c=%B4N%B7%7E88&amp;rr=0.76250500%201435595668" TargetMode="External"/><Relationship Id="rId54" Type="http://schemas.openxmlformats.org/officeDocument/2006/relationships/hyperlink" Target="https://tw.stock.yahoo.com/s/list.php?c=%A5%FA%BA%D0%BE%F7&amp;rr=0.76234900%201435595668" TargetMode="External"/><Relationship Id="rId96" Type="http://schemas.openxmlformats.org/officeDocument/2006/relationships/hyperlink" Target="https://tw.stock.yahoo.com/s/list2.php?c=%B0%D3%A5%CE%A4%A3%B0%CA%B2%A3%B7%A7%A9%C0&amp;rr=0.76246700%201435595668" TargetMode="External"/><Relationship Id="rId161" Type="http://schemas.openxmlformats.org/officeDocument/2006/relationships/hyperlink" Target="https://tw.stock.yahoo.com/s/list2.php?c=%A5%7E%BEP%A6%AC%A6%A8&amp;rr=0.76266600%201435595668" TargetMode="External"/><Relationship Id="rId217" Type="http://schemas.openxmlformats.org/officeDocument/2006/relationships/hyperlink" Target="https://tw.stock.yahoo.com/s/list2.php?c=%B3%BB%B7s%B0%EA%BB%DA&amp;rr=0.76283000%201435595668" TargetMode="External"/><Relationship Id="rId259" Type="http://schemas.openxmlformats.org/officeDocument/2006/relationships/hyperlink" Target="https://tw.stock.yahoo.com/s/list2.php?c=%AD%5E%B7%7E%B9F&amp;rr=0.76293800%201435595668" TargetMode="External"/><Relationship Id="rId23" Type="http://schemas.openxmlformats.org/officeDocument/2006/relationships/hyperlink" Target="https://tw.stock.yahoo.com/s/list.php?c=%C2d%BF%FB%C5K&amp;rr=0.76227300%201435595668" TargetMode="External"/><Relationship Id="rId119" Type="http://schemas.openxmlformats.org/officeDocument/2006/relationships/hyperlink" Target="https://tw.stock.yahoo.com/s/list2.php?c=Kinect&amp;rr=0.76254000%201435595668" TargetMode="External"/><Relationship Id="rId270" Type="http://schemas.openxmlformats.org/officeDocument/2006/relationships/hyperlink" Target="https://tw.stock.yahoo.com/s/list2.php?c=%C2E%AE%FC&amp;rr=0.76296300%201435595668" TargetMode="External"/><Relationship Id="rId44" Type="http://schemas.openxmlformats.org/officeDocument/2006/relationships/hyperlink" Target="https://tw.stock.yahoo.com/s/list.php?c=%C2d%BB%7B%B0%E2&amp;rr=0.76230400%201435595668" TargetMode="External"/><Relationship Id="rId65" Type="http://schemas.openxmlformats.org/officeDocument/2006/relationships/hyperlink" Target="https://tw.stock.yahoo.com/s/list.php?c=%BC%D2%A8%E3%A8R%C0%A3&amp;rr=0.76236600%201435595668" TargetMode="External"/><Relationship Id="rId86" Type="http://schemas.openxmlformats.org/officeDocument/2006/relationships/hyperlink" Target="https://tw.stock.yahoo.com/s/list2.php?c=%B0%EA%A5%F8%A8p%A6%B3&amp;rr=0.76243500%201435595668" TargetMode="External"/><Relationship Id="rId130" Type="http://schemas.openxmlformats.org/officeDocument/2006/relationships/hyperlink" Target="https://tw.stock.yahoo.com/s/list2.php?c=%B9q%B0%CA%A8%AE&amp;rr=0.76257900%201435595668" TargetMode="External"/><Relationship Id="rId151" Type="http://schemas.openxmlformats.org/officeDocument/2006/relationships/hyperlink" Target="https://tw.stock.yahoo.com/s/list2.php?c=%A8%E2%A9%A4%A4T%A6a500%AB%FC&amp;rr=0.76263900%201435595668" TargetMode="External"/><Relationship Id="rId172" Type="http://schemas.openxmlformats.org/officeDocument/2006/relationships/hyperlink" Target="https://tw.stock.yahoo.com/s/list2.php?c=%B7s%AA%D1%B1%BE%B5P&amp;rr=0.76271500%201435595668" TargetMode="External"/><Relationship Id="rId193" Type="http://schemas.openxmlformats.org/officeDocument/2006/relationships/hyperlink" Target="https://tw.stock.yahoo.com/s/list2.php?c=Google%B2%B4%C3%E8&amp;rr=0.76276600%201435595668" TargetMode="External"/><Relationship Id="rId207" Type="http://schemas.openxmlformats.org/officeDocument/2006/relationships/hyperlink" Target="https://tw.stock.yahoo.com/s/list2.php?c=%B8%EA%B2%A3%B7%A7%A9%C0&amp;rr=0.76279900%201435595668" TargetMode="External"/><Relationship Id="rId228" Type="http://schemas.openxmlformats.org/officeDocument/2006/relationships/hyperlink" Target="https://tw.stock.yahoo.com/s/list2.php?c=%AB%C2%B2%B1&amp;rr=0.76286500%201435595668" TargetMode="External"/><Relationship Id="rId249" Type="http://schemas.openxmlformats.org/officeDocument/2006/relationships/hyperlink" Target="https://tw.stock.yahoo.com/s/list2.php?c=%A4j%BB%F5&amp;rr=0.76291600%201435595668" TargetMode="External"/><Relationship Id="rId13" Type="http://schemas.openxmlformats.org/officeDocument/2006/relationships/hyperlink" Target="https://tw.stock.yahoo.com/s/list.php?c=%AB%FC%BC%C6%C3%FE&amp;rr=0.76225400%201435595668" TargetMode="External"/><Relationship Id="rId109" Type="http://schemas.openxmlformats.org/officeDocument/2006/relationships/hyperlink" Target="https://tw.stock.yahoo.com/s/list2.php?c=%BA%EB%AB%7E&amp;rr=0.76251300%201435595668" TargetMode="External"/><Relationship Id="rId260" Type="http://schemas.openxmlformats.org/officeDocument/2006/relationships/hyperlink" Target="https://tw.stock.yahoo.com/s/list2.php?c=%A4j%B2%B3&amp;rr=0.76294200%201435595668" TargetMode="External"/><Relationship Id="rId281" Type="http://schemas.openxmlformats.org/officeDocument/2006/relationships/hyperlink" Target="https://tw.stock.yahoo.com/s/list2.php?c=%A4%CD%B0T&amp;rr=0.76299200%201435595668" TargetMode="External"/><Relationship Id="rId34" Type="http://schemas.openxmlformats.org/officeDocument/2006/relationships/hyperlink" Target="https://tw.stock.yahoo.com/s/list.php?c=%C2d%AF%E8%B9B&amp;rr=0.76228900%201435595668" TargetMode="External"/><Relationship Id="rId55" Type="http://schemas.openxmlformats.org/officeDocument/2006/relationships/hyperlink" Target="https://tw.stock.yahoo.com/s/list.php?c=%A5%FA%C5%D6%B2%A3%AB%7E&amp;rr=0.76235000%201435595668" TargetMode="External"/><Relationship Id="rId76" Type="http://schemas.openxmlformats.org/officeDocument/2006/relationships/hyperlink" Target="https://tw.stock.yahoo.com/s/list.php?c=%A4%E2%BE%F7&amp;rr=0.76238700%201435595668" TargetMode="External"/><Relationship Id="rId97" Type="http://schemas.openxmlformats.org/officeDocument/2006/relationships/hyperlink" Target="https://tw.stock.yahoo.com/s/list2.php?c=%BA%D2%C5%D6%BA%FB&amp;rr=0.76247500%201435595668" TargetMode="External"/><Relationship Id="rId120" Type="http://schemas.openxmlformats.org/officeDocument/2006/relationships/hyperlink" Target="https://tw.stock.yahoo.com/s/list2.php?c=%A4u%A8%E3%BE%F7%BCt&amp;rr=0.76254200%201435595668" TargetMode="External"/><Relationship Id="rId141" Type="http://schemas.openxmlformats.org/officeDocument/2006/relationships/hyperlink" Target="https://tw.stock.yahoo.com/s/list2.php?c=%B0%AA%B4%DE%A7Q%C0%F2%A7Q&amp;rr=0.76261400%201435595668" TargetMode="External"/><Relationship Id="rId7" Type="http://schemas.openxmlformats.org/officeDocument/2006/relationships/hyperlink" Target="https://tw.stock.yahoo.com/s/list.php?c=%AAo%B9q%BFU%AE%F0&amp;rr=0.76224500%201435595668" TargetMode="External"/><Relationship Id="rId162" Type="http://schemas.openxmlformats.org/officeDocument/2006/relationships/hyperlink" Target="https://tw.stock.yahoo.com/s/list2.php?c=%B9q%B0%CA%A8%AETesla&amp;rr=0.76266800%201435595668" TargetMode="External"/><Relationship Id="rId183" Type="http://schemas.openxmlformats.org/officeDocument/2006/relationships/hyperlink" Target="https://tw.stock.yahoo.com/s/list2.php?c=%B7s%BCW%A6%A8%A5%F7&amp;rr=0.76274200%201435595668" TargetMode="External"/><Relationship Id="rId218" Type="http://schemas.openxmlformats.org/officeDocument/2006/relationships/hyperlink" Target="https://tw.stock.yahoo.com/s/list2.php?c=%B5%D8%BA%D3&amp;rr=0.76283100%201435595668" TargetMode="External"/><Relationship Id="rId239" Type="http://schemas.openxmlformats.org/officeDocument/2006/relationships/hyperlink" Target="https://tw.stock.yahoo.com/s/list2.php?c=%A4%E9%A4%EB%A5%FA&amp;rr=0.76289000%201435595668" TargetMode="External"/><Relationship Id="rId250" Type="http://schemas.openxmlformats.org/officeDocument/2006/relationships/hyperlink" Target="https://tw.stock.yahoo.com/s/list2.php?c=%AF%E0%B2v&amp;rr=0.76291800%201435595668" TargetMode="External"/><Relationship Id="rId271" Type="http://schemas.openxmlformats.org/officeDocument/2006/relationships/hyperlink" Target="https://tw.stock.yahoo.com/s/list2.php?c=%AC%E3%B5%D8&amp;rr=0.76296500%201435595668" TargetMode="External"/><Relationship Id="rId292" Type="http://schemas.openxmlformats.org/officeDocument/2006/relationships/hyperlink" Target="https://tw.stock.yahoo.com/s/list2.php?c=%C0%E9%A9%5B%A5%F8%B7%7E&amp;rr=0.76301800%201435595668" TargetMode="External"/><Relationship Id="rId306" Type="http://schemas.openxmlformats.org/officeDocument/2006/relationships/hyperlink" Target="https://tw.stock.yahoo.com/pf/pfsel?stocklist=3306;" TargetMode="External"/><Relationship Id="rId24" Type="http://schemas.openxmlformats.org/officeDocument/2006/relationships/hyperlink" Target="https://tw.stock.yahoo.com/s/list.php?c=%C2d%BE%F3%BD%A6&amp;rr=0.76227400%201435595668" TargetMode="External"/><Relationship Id="rId45" Type="http://schemas.openxmlformats.org/officeDocument/2006/relationships/hyperlink" Target="https://tw.stock.yahoo.com/s/list.php?c=DRAM&amp;rr=0.76230600%201435595668" TargetMode="External"/><Relationship Id="rId66" Type="http://schemas.openxmlformats.org/officeDocument/2006/relationships/hyperlink" Target="https://tw.stock.yahoo.com/s/list.php?c=%B9q%ABH%B3%5D%B3%C6&amp;rr=0.76236700%201435595668" TargetMode="External"/><Relationship Id="rId87" Type="http://schemas.openxmlformats.org/officeDocument/2006/relationships/hyperlink" Target="https://tw.stock.yahoo.com/s/list2.php?c=iTV&amp;rr=0.76243700%201435595668" TargetMode="External"/><Relationship Id="rId110" Type="http://schemas.openxmlformats.org/officeDocument/2006/relationships/hyperlink" Target="https://tw.stock.yahoo.com/s/list2.php?c=%A8%C8%ACw%AAx%A5%CE%BE%F0%AF%D7%BA%A6%BB%F9&amp;rr=0.76251500%201435595668" TargetMode="External"/><Relationship Id="rId131" Type="http://schemas.openxmlformats.org/officeDocument/2006/relationships/hyperlink" Target="https://tw.stock.yahoo.com/s/list2.php?c=%B6%B3%BA%DD%B7%A7%A9%C0&amp;rr=0.76258100%201435595668" TargetMode="External"/><Relationship Id="rId152" Type="http://schemas.openxmlformats.org/officeDocument/2006/relationships/hyperlink" Target="https://tw.stock.yahoo.com/s/list2.php?c=%C3%E8%C0Y&amp;rr=0.76264100%201435595668" TargetMode="External"/><Relationship Id="rId173" Type="http://schemas.openxmlformats.org/officeDocument/2006/relationships/hyperlink" Target="https://tw.stock.yahoo.com/s/list2.php?c=3C%B3q%B8%F4%AA%AB%ACy&amp;rr=0.76271900%201435595668" TargetMode="External"/><Relationship Id="rId194" Type="http://schemas.openxmlformats.org/officeDocument/2006/relationships/hyperlink" Target="https://tw.stock.yahoo.com/s/list2.php?c=%A5%CD%A7%DE%AAA%B0%C8&amp;rr=0.76276800%201435595668" TargetMode="External"/><Relationship Id="rId208" Type="http://schemas.openxmlformats.org/officeDocument/2006/relationships/hyperlink" Target="https://tw.stock.yahoo.com/s/list2.php?c=%A8%AE%C1p%BA%F4&amp;rr=0.76280100%201435595668" TargetMode="External"/><Relationship Id="rId229" Type="http://schemas.openxmlformats.org/officeDocument/2006/relationships/hyperlink" Target="https://tw.stock.yahoo.com/s/list2.php?c=%B8s%A5%FA%C2%C5%A4%D1&amp;rr=0.76286600%201435595668" TargetMode="External"/><Relationship Id="rId240" Type="http://schemas.openxmlformats.org/officeDocument/2006/relationships/hyperlink" Target="https://tw.stock.yahoo.com/s/list2.php?c=%A5%DF%AFq%AF%BC%C2%B4&amp;rr=0.76289500%201435595668" TargetMode="External"/><Relationship Id="rId261" Type="http://schemas.openxmlformats.org/officeDocument/2006/relationships/hyperlink" Target="https://tw.stock.yahoo.com/s/list2.php?c=%C1n%C4_&amp;rr=0.76294400%201435595668" TargetMode="External"/><Relationship Id="rId14" Type="http://schemas.openxmlformats.org/officeDocument/2006/relationships/hyperlink" Target="https://tw.stock.yahoo.com/s/list.php?c=otc&amp;rr=0.76225500%201435595668" TargetMode="External"/><Relationship Id="rId35" Type="http://schemas.openxmlformats.org/officeDocument/2006/relationships/hyperlink" Target="https://tw.stock.yahoo.com/s/list.php?c=%C2d%C6%5B%A5%FA&amp;rr=0.76229100%201435595668" TargetMode="External"/><Relationship Id="rId56" Type="http://schemas.openxmlformats.org/officeDocument/2006/relationships/hyperlink" Target="https://tw.stock.yahoo.com/s/list.php?c=%A6%F8%AAA%BE%B9&amp;rr=0.76235200%201435595668" TargetMode="External"/><Relationship Id="rId77" Type="http://schemas.openxmlformats.org/officeDocument/2006/relationships/hyperlink" Target="https://tw.stock.yahoo.com/s/list.php?c=%BC%C6%A6%EC%AC%DB%BE%F7&amp;rr=0.76238800%201435595668" TargetMode="External"/><Relationship Id="rId100" Type="http://schemas.openxmlformats.org/officeDocument/2006/relationships/hyperlink" Target="https://tw.stock.yahoo.com/s/list2.php?c=MSCI&amp;rr=0.76248000%201435595668" TargetMode="External"/><Relationship Id="rId282" Type="http://schemas.openxmlformats.org/officeDocument/2006/relationships/hyperlink" Target="https://tw.stock.yahoo.com/s/list2.php?c=%B5%D8%A6t&amp;rr=0.76299300%201435595668" TargetMode="External"/><Relationship Id="rId8" Type="http://schemas.openxmlformats.org/officeDocument/2006/relationships/hyperlink" Target="https://tw.stock.yahoo.com/s/list.php?c=%A8%E4%A5L&amp;rr=0.76224600%201435595668" TargetMode="External"/><Relationship Id="rId98" Type="http://schemas.openxmlformats.org/officeDocument/2006/relationships/hyperlink" Target="https://tw.stock.yahoo.com/s/list2.php?c=%B5L%A4H%BEr%BEp&amp;rr=0.76247700%201435595668" TargetMode="External"/><Relationship Id="rId121" Type="http://schemas.openxmlformats.org/officeDocument/2006/relationships/hyperlink" Target="https://tw.stock.yahoo.com/s/list2.php?c=%ADu%AC%FC%B1%BE%B5P&amp;rr=0.76254900%201435595668" TargetMode="External"/><Relationship Id="rId142" Type="http://schemas.openxmlformats.org/officeDocument/2006/relationships/hyperlink" Target="https://tw.stock.yahoo.com/s/list2.php?c=%A4%A4%B0%EA%B0%AA%C5K&amp;rr=0.76261600%201435595668" TargetMode="External"/><Relationship Id="rId163" Type="http://schemas.openxmlformats.org/officeDocument/2006/relationships/hyperlink" Target="https://tw.stock.yahoo.com/s/list2.php?c=%A4%A4%B8%EA%ABO%C0I&amp;rr=0.76267000%201435595668" TargetMode="External"/><Relationship Id="rId184" Type="http://schemas.openxmlformats.org/officeDocument/2006/relationships/hyperlink" Target="https://tw.stock.yahoo.com/s/list2.php?c=%B6%C0%AA%F7%B7%A7%A9%C0&amp;rr=0.76274300%201435595668" TargetMode="External"/><Relationship Id="rId219" Type="http://schemas.openxmlformats.org/officeDocument/2006/relationships/hyperlink" Target="https://tw.stock.yahoo.com/s/list2.php?c=%AA%BF%AB%7E&amp;rr=0.76283300%201435595668" TargetMode="External"/><Relationship Id="rId230" Type="http://schemas.openxmlformats.org/officeDocument/2006/relationships/hyperlink" Target="https://tw.stock.yahoo.com/s/list2.php?c=%A4%A4%B1j%A5%FA%B9q&amp;rr=0.76286800%201435595668" TargetMode="External"/><Relationship Id="rId251" Type="http://schemas.openxmlformats.org/officeDocument/2006/relationships/hyperlink" Target="https://tw.stock.yahoo.com/s/list2.php?c=%A4O%B4%B9&amp;rr=0.76291900%201435595668" TargetMode="External"/><Relationship Id="rId25" Type="http://schemas.openxmlformats.org/officeDocument/2006/relationships/hyperlink" Target="https://tw.stock.yahoo.com/s/list.php?c=%C2d%A5b%BE%C9&amp;rr=0.76227600%201435595668" TargetMode="External"/><Relationship Id="rId46" Type="http://schemas.openxmlformats.org/officeDocument/2006/relationships/hyperlink" Target="https://tw.stock.yahoo.com/s/list.php?c=DRAM%BC%D2%B2%D5&amp;rr=0.76230800%201435595668" TargetMode="External"/><Relationship Id="rId67" Type="http://schemas.openxmlformats.org/officeDocument/2006/relationships/hyperlink" Target="https://tw.stock.yahoo.com/s/list.php?c=%AE%E0%A4W%AB%AC%B9q%B8%A3&amp;rr=0.76236900%201435595668" TargetMode="External"/><Relationship Id="rId272" Type="http://schemas.openxmlformats.org/officeDocument/2006/relationships/hyperlink" Target="https://tw.stock.yahoo.com/s/list2.php?c=%A4h%AAL%AF%C8%B7%7E&amp;rr=0.76296900%201435595668" TargetMode="External"/><Relationship Id="rId293" Type="http://schemas.openxmlformats.org/officeDocument/2006/relationships/hyperlink" Target="https://tw.stock.yahoo.com/q/bc?s=3706" TargetMode="External"/><Relationship Id="rId307" Type="http://schemas.openxmlformats.org/officeDocument/2006/relationships/hyperlink" Target="https://tw.stock.yahoo.com/pf/pfsel?stocklist=3306;" TargetMode="External"/><Relationship Id="rId88" Type="http://schemas.openxmlformats.org/officeDocument/2006/relationships/hyperlink" Target="https://tw.stock.yahoo.com/s/list2.php?c=%B0%AA%B4%DE%A7Q%B2v&amp;rr=0.76243800%201435595668" TargetMode="External"/><Relationship Id="rId111" Type="http://schemas.openxmlformats.org/officeDocument/2006/relationships/hyperlink" Target="https://tw.stock.yahoo.com/s/list2.php?c=%C1%7E%B9S%AB%FC%BC%C6&amp;rr=0.76251600%201435595668" TargetMode="External"/><Relationship Id="rId132" Type="http://schemas.openxmlformats.org/officeDocument/2006/relationships/hyperlink" Target="https://tw.stock.yahoo.com/s/list2.php?c=%B0%B7%B1d%AD%B9%AB%7E&amp;rr=0.76258500%201435595668" TargetMode="External"/><Relationship Id="rId153" Type="http://schemas.openxmlformats.org/officeDocument/2006/relationships/hyperlink" Target="https://tw.stock.yahoo.com/s/list2.php?c=%A5x%B9%F4%A4%C9%AD%C8&amp;rr=0.76264600%201435595668" TargetMode="External"/><Relationship Id="rId174" Type="http://schemas.openxmlformats.org/officeDocument/2006/relationships/hyperlink" Target="https://tw.stock.yahoo.com/s/list2.php?c=%A5%CD%BD%E8%AF%E0%B7%BD&amp;rr=0.76272100%201435595668" TargetMode="External"/><Relationship Id="rId195" Type="http://schemas.openxmlformats.org/officeDocument/2006/relationships/hyperlink" Target="https://tw.stock.yahoo.com/s/list2.php?c=%AE%E7%B6%E9%BE%F7%B3%F5%B1%B6%B9B&amp;rr=0.76276900%201435595668" TargetMode="External"/><Relationship Id="rId209" Type="http://schemas.openxmlformats.org/officeDocument/2006/relationships/hyperlink" Target="https://tw.stock.yahoo.com/s/list2.php?c=%B6V%ABn%B3%5D%BCt&amp;rr=0.76280400%201435595668" TargetMode="External"/><Relationship Id="rId220" Type="http://schemas.openxmlformats.org/officeDocument/2006/relationships/hyperlink" Target="https://tw.stock.yahoo.com/s/list2.php?c=%A4T%B0%D3%A6%E6&amp;rr=0.76283900%201435595668" TargetMode="External"/><Relationship Id="rId241" Type="http://schemas.openxmlformats.org/officeDocument/2006/relationships/hyperlink" Target="https://tw.stock.yahoo.com/s/list2.php?c=%A4%A4%B9%A9%A4u%B5%7B&amp;rr=0.76289700%201435595668" TargetMode="External"/><Relationship Id="rId15" Type="http://schemas.openxmlformats.org/officeDocument/2006/relationships/hyperlink" Target="https://tw.stock.yahoo.com/s/list.php?c=%C2d%AD%B9%AB%7E&amp;rr=0.76225700%201435595668" TargetMode="External"/><Relationship Id="rId36" Type="http://schemas.openxmlformats.org/officeDocument/2006/relationships/hyperlink" Target="https://tw.stock.yahoo.com/s/list.php?c=%C2d%AA%F7%BF%C4&amp;rr=0.76229200%201435595668" TargetMode="External"/><Relationship Id="rId57" Type="http://schemas.openxmlformats.org/officeDocument/2006/relationships/hyperlink" Target="https://tw.stock.yahoo.com/s/list.php?c=%B3n%C5%E9%B7%7E&amp;rr=0.76235300%201435595668" TargetMode="External"/><Relationship Id="rId262" Type="http://schemas.openxmlformats.org/officeDocument/2006/relationships/hyperlink" Target="https://tw.stock.yahoo.com/s/list2.php?c=%C1p%B9q&amp;rr=0.76294500%201435595668" TargetMode="External"/><Relationship Id="rId283" Type="http://schemas.openxmlformats.org/officeDocument/2006/relationships/hyperlink" Target="https://tw.stock.yahoo.com/s/list2.php?c=%B0%EA%B2%A3&amp;rr=0.76299500%201435595668" TargetMode="External"/><Relationship Id="rId78" Type="http://schemas.openxmlformats.org/officeDocument/2006/relationships/hyperlink" Target="https://tw.stock.yahoo.com/s/list.php?c=%B3Q%B0%CA%A4%B8%A5%F3&amp;rr=0.76239100%201435595668" TargetMode="External"/><Relationship Id="rId99" Type="http://schemas.openxmlformats.org/officeDocument/2006/relationships/hyperlink" Target="https://tw.stock.yahoo.com/s/list2.php?c=%B6%C7%B2%A3%A6%CA%A4%B8%AD%D1%BC%D6%B3%A1&amp;rr=0.76247900%201435595668" TargetMode="External"/><Relationship Id="rId101" Type="http://schemas.openxmlformats.org/officeDocument/2006/relationships/hyperlink" Target="https://tw.stock.yahoo.com/s/list2.php?c=%AAo%B9q%A8%AE&amp;rr=0.76248800%201435595668" TargetMode="External"/><Relationship Id="rId122" Type="http://schemas.openxmlformats.org/officeDocument/2006/relationships/hyperlink" Target="https://tw.stock.yahoo.com/s/list2.php?c=%AE%E7%B6%E9%AF%E8%AA%C5%AB%B0&amp;rr=0.76255100%201435595668" TargetMode="External"/><Relationship Id="rId143" Type="http://schemas.openxmlformats.org/officeDocument/2006/relationships/hyperlink" Target="https://tw.stock.yahoo.com/s/list2.php?c=%B5L%BDu%A5R%B9q&amp;rr=0.76261700%201435595668" TargetMode="External"/><Relationship Id="rId164" Type="http://schemas.openxmlformats.org/officeDocument/2006/relationships/hyperlink" Target="https://tw.stock.yahoo.com/s/list2.php?c=%C4%B2%B1%B1%AD%B1%AAO&amp;rr=0.76267100%201435595668" TargetMode="External"/><Relationship Id="rId185" Type="http://schemas.openxmlformats.org/officeDocument/2006/relationships/hyperlink" Target="https://tw.stock.yahoo.com/s/list2.php?c=%A4H%A5%C1%B9%F4%A4%C9&amp;rr=0.76274800%201435595668" TargetMode="External"/><Relationship Id="rId9" Type="http://schemas.openxmlformats.org/officeDocument/2006/relationships/hyperlink" Target="https://tw.stock.yahoo.com/s/list.php?c=%BA%EE%A6X&amp;rr=0.76224700%201435595668" TargetMode="External"/><Relationship Id="rId210" Type="http://schemas.openxmlformats.org/officeDocument/2006/relationships/hyperlink" Target="https://tw.stock.yahoo.com/s/list2.php?c=%B3%5D%B3%C6%B2%D5%A5%F3&amp;rr=0.76280600%201435595668" TargetMode="External"/><Relationship Id="rId26" Type="http://schemas.openxmlformats.org/officeDocument/2006/relationships/hyperlink" Target="https://tw.stock.yahoo.com/s/list.php?c=%C2d%B9q%B8%A3&amp;rr=0.76227800%201435595668" TargetMode="External"/><Relationship Id="rId231" Type="http://schemas.openxmlformats.org/officeDocument/2006/relationships/hyperlink" Target="https://tw.stock.yahoo.com/s/list2.php?c=%A5%F5%BCw&amp;rr=0.76286900%201435595668" TargetMode="External"/><Relationship Id="rId252" Type="http://schemas.openxmlformats.org/officeDocument/2006/relationships/hyperlink" Target="https://tw.stock.yahoo.com/s/list2.php?c=%AAF%A4%B8%B9q%BE%F7&amp;rr=0.76292400%201435595668" TargetMode="External"/><Relationship Id="rId273" Type="http://schemas.openxmlformats.org/officeDocument/2006/relationships/hyperlink" Target="https://tw.stock.yahoo.com/s/list2.php?c=%A5x%BBE&amp;rr=0.76297100%201435595668" TargetMode="External"/><Relationship Id="rId294" Type="http://schemas.openxmlformats.org/officeDocument/2006/relationships/hyperlink" Target="https://tw.stock.yahoo.com/pf/pfsel?stocklist=3706;" TargetMode="External"/><Relationship Id="rId308" Type="http://schemas.openxmlformats.org/officeDocument/2006/relationships/hyperlink" Target="https://tw.stock.yahoo.com/q/ts?s=3306" TargetMode="External"/><Relationship Id="rId47" Type="http://schemas.openxmlformats.org/officeDocument/2006/relationships/hyperlink" Target="https://tw.stock.yahoo.com/s/list.php?c=IC%B3%5D%ADp&amp;rr=0.76230900%201435595668" TargetMode="External"/><Relationship Id="rId68" Type="http://schemas.openxmlformats.org/officeDocument/2006/relationships/hyperlink" Target="https://tw.stock.yahoo.com/s/list.php?c=%B6g%C3%E4%B2%A3%AB%7E&amp;rr=0.76237000%201435595668" TargetMode="External"/><Relationship Id="rId89" Type="http://schemas.openxmlformats.org/officeDocument/2006/relationships/hyperlink" Target="https://tw.stock.yahoo.com/s/list2.php?c=%AE%FC%B6q%B8%EA%AE%C6&amp;rr=0.76244900%201435595668" TargetMode="External"/><Relationship Id="rId112" Type="http://schemas.openxmlformats.org/officeDocument/2006/relationships/hyperlink" Target="https://tw.stock.yahoo.com/s/list2.php?c=LED%A5%FA%B7%BD&amp;rr=0.76251800%201435595668" TargetMode="External"/><Relationship Id="rId133" Type="http://schemas.openxmlformats.org/officeDocument/2006/relationships/hyperlink" Target="https://tw.stock.yahoo.com/s/list2.php?c=%B7s%A5%FC%AF%E0%B7%BD&amp;rr=0.76259200%201435595668" TargetMode="External"/><Relationship Id="rId154" Type="http://schemas.openxmlformats.org/officeDocument/2006/relationships/hyperlink" Target="https://tw.stock.yahoo.com/s/list2.php?c=%C4%AB%AAG%A8%D1%C0%B3&amp;rr=0.76264800%201435595668" TargetMode="External"/><Relationship Id="rId175" Type="http://schemas.openxmlformats.org/officeDocument/2006/relationships/hyperlink" Target="https://tw.stock.yahoo.com/s/list2.php?c=%A8%BE%AC%CC%C3%C4%AB%7E&amp;rr=0.76272300%201435595668" TargetMode="External"/><Relationship Id="rId196" Type="http://schemas.openxmlformats.org/officeDocument/2006/relationships/hyperlink" Target="https://tw.stock.yahoo.com/s/list2.php?c=SDN&amp;rr=0.76277100%201435595668" TargetMode="External"/><Relationship Id="rId200" Type="http://schemas.openxmlformats.org/officeDocument/2006/relationships/hyperlink" Target="https://tw.stock.yahoo.com/s/list2.php?c=%AF%E8%B9B%AA%D1&amp;rr=0.76277900%201435595668" TargetMode="External"/><Relationship Id="rId16" Type="http://schemas.openxmlformats.org/officeDocument/2006/relationships/hyperlink" Target="https://tw.stock.yahoo.com/s/list.php?c=%C2d%B6%EC%BD%A6&amp;rr=0.76225900%201435595668" TargetMode="External"/><Relationship Id="rId221" Type="http://schemas.openxmlformats.org/officeDocument/2006/relationships/hyperlink" Target="https://tw.stock.yahoo.com/s/list2.php?c=%B5%D8%B7s&amp;rr=0.76284100%201435595668" TargetMode="External"/><Relationship Id="rId242" Type="http://schemas.openxmlformats.org/officeDocument/2006/relationships/hyperlink" Target="https://tw.stock.yahoo.com/s/list2.php?c=%B2%CE%A4%40&amp;rr=0.76289800%201435595668" TargetMode="External"/><Relationship Id="rId263" Type="http://schemas.openxmlformats.org/officeDocument/2006/relationships/hyperlink" Target="https://tw.stock.yahoo.com/s/list2.php?c=%C4_%A6%A8&amp;rr=0.76294700%201435595668" TargetMode="External"/><Relationship Id="rId284" Type="http://schemas.openxmlformats.org/officeDocument/2006/relationships/hyperlink" Target="https://tw.stock.yahoo.com/s/list2.php?c=%C1p%B5%D8%AF%AB%B3q&amp;rr=0.76299900%201435595668" TargetMode="External"/><Relationship Id="rId37" Type="http://schemas.openxmlformats.org/officeDocument/2006/relationships/hyperlink" Target="https://tw.stock.yahoo.com/s/list.php?c=%C2d%B6T%A9%F6&amp;rr=0.76229300%201435595668" TargetMode="External"/><Relationship Id="rId58" Type="http://schemas.openxmlformats.org/officeDocument/2006/relationships/hyperlink" Target="https://tw.stock.yahoo.com/s/list.php?c=%B1%BD%BA%CB%BE%B9&amp;rr=0.76235400%201435595668" TargetMode="External"/><Relationship Id="rId79" Type="http://schemas.openxmlformats.org/officeDocument/2006/relationships/hyperlink" Target="https://tw.stock.yahoo.com/s/list.php?c=%B9q%B7%BD%A8%D1%C0%B3%BE%B9&amp;rr=0.76239300%201435595668" TargetMode="External"/><Relationship Id="rId102" Type="http://schemas.openxmlformats.org/officeDocument/2006/relationships/hyperlink" Target="https://tw.stock.yahoo.com/s/list2.php?c=QE3&amp;rr=0.76249000%201435595668" TargetMode="External"/><Relationship Id="rId123" Type="http://schemas.openxmlformats.org/officeDocument/2006/relationships/hyperlink" Target="https://tw.stock.yahoo.com/s/list2.php?c=%B0%AA%C1%7E100&amp;rr=0.76255200%201435595668" TargetMode="External"/><Relationship Id="rId144" Type="http://schemas.openxmlformats.org/officeDocument/2006/relationships/hyperlink" Target="https://tw.stock.yahoo.com/s/list2.php?c=PS4&amp;rr=0.76261900%201435595668" TargetMode="External"/><Relationship Id="rId90" Type="http://schemas.openxmlformats.org/officeDocument/2006/relationships/hyperlink" Target="https://tw.stock.yahoo.com/s/list2.php?c=%BC%DA%A4%B8%B6S%AD%C8&amp;rr=0.76245100%201435595668" TargetMode="External"/><Relationship Id="rId165" Type="http://schemas.openxmlformats.org/officeDocument/2006/relationships/hyperlink" Target="https://tw.stock.yahoo.com/s/list2.php?c=%B7L%B3nSurface&amp;rr=0.76269900%201435595668" TargetMode="External"/><Relationship Id="rId186" Type="http://schemas.openxmlformats.org/officeDocument/2006/relationships/hyperlink" Target="https://tw.stock.yahoo.com/s/list2.php?c=%B2%C4%A4T%A4%E8%A4%E4%A5I&amp;rr=0.76275000%201435595668" TargetMode="External"/><Relationship Id="rId211" Type="http://schemas.openxmlformats.org/officeDocument/2006/relationships/hyperlink" Target="https://tw.stock.yahoo.com/s/list2.php?c=%BA%AD%B2%60B%AA%D1&amp;rr=0.76280800%201435595668" TargetMode="External"/><Relationship Id="rId232" Type="http://schemas.openxmlformats.org/officeDocument/2006/relationships/hyperlink" Target="https://tw.stock.yahoo.com/s/list2.php?c=%A5%BF%B4Q&amp;rr=0.76287500%201435595668" TargetMode="External"/><Relationship Id="rId253" Type="http://schemas.openxmlformats.org/officeDocument/2006/relationships/hyperlink" Target="https://tw.stock.yahoo.com/s/list2.php?c=%AD%E2%B6%A7&amp;rr=0.76292600%201435595668" TargetMode="External"/><Relationship Id="rId274" Type="http://schemas.openxmlformats.org/officeDocument/2006/relationships/hyperlink" Target="https://tw.stock.yahoo.com/s/list2.php?c=%EB%E4%BCw&amp;rr=0.76297200%201435595668" TargetMode="External"/><Relationship Id="rId295" Type="http://schemas.openxmlformats.org/officeDocument/2006/relationships/hyperlink" Target="https://tw.stock.yahoo.com/pf/pfsel?stocklist=3706;" TargetMode="External"/><Relationship Id="rId309" Type="http://schemas.openxmlformats.org/officeDocument/2006/relationships/hyperlink" Target="https://tw.rd.yahoo.com/referurl/stock/other/SIG=125v47s73/**https:/tw.screener.finance.yahoo.net/screener/check.html?symid=3306" TargetMode="External"/><Relationship Id="rId27" Type="http://schemas.openxmlformats.org/officeDocument/2006/relationships/hyperlink" Target="https://tw.stock.yahoo.com/s/list.php?c=%C2d%A5%FA%B9q&amp;rr=0.76227900%201435595668" TargetMode="External"/><Relationship Id="rId48" Type="http://schemas.openxmlformats.org/officeDocument/2006/relationships/hyperlink" Target="https://tw.stock.yahoo.com/s/list.php?c=IC%A5%CD%B2%A3&amp;rr=0.76231000%201435595668" TargetMode="External"/><Relationship Id="rId69" Type="http://schemas.openxmlformats.org/officeDocument/2006/relationships/hyperlink" Target="https://tw.stock.yahoo.com/s/list.php?c=%B5%A7%B0O%AB%AC%B9q%B8%A3&amp;rr=0.76237300%201435595668" TargetMode="External"/><Relationship Id="rId113" Type="http://schemas.openxmlformats.org/officeDocument/2006/relationships/hyperlink" Target="https://tw.stock.yahoo.com/s/list2.php?c=%B3%5D%B3%C6%B3q%B8%F4&amp;rr=0.76252500%201435595668" TargetMode="External"/><Relationship Id="rId134" Type="http://schemas.openxmlformats.org/officeDocument/2006/relationships/hyperlink" Target="https://tw.stock.yahoo.com/s/list2.php?c=%A4%A4%B8%EA%A6a%B2%A3&amp;rr=0.76259400%201435595668" TargetMode="External"/><Relationship Id="rId80" Type="http://schemas.openxmlformats.org/officeDocument/2006/relationships/hyperlink" Target="https://tw.stock.yahoo.com/s/list.php?c=PDA&amp;rr=0.76239400%201435595668" TargetMode="External"/><Relationship Id="rId155" Type="http://schemas.openxmlformats.org/officeDocument/2006/relationships/hyperlink" Target="https://tw.stock.yahoo.com/s/list2.php?c=%C4%B2%B1%B1&amp;rr=0.76264900%201435595668" TargetMode="External"/><Relationship Id="rId176" Type="http://schemas.openxmlformats.org/officeDocument/2006/relationships/hyperlink" Target="https://tw.stock.yahoo.com/s/list2.php?c=3D+TV&amp;rr=0.76272400%201435595668" TargetMode="External"/><Relationship Id="rId197" Type="http://schemas.openxmlformats.org/officeDocument/2006/relationships/hyperlink" Target="https://tw.stock.yahoo.com/s/list2.php?c=%C3%C4%AB%7E%A5%CD%B2%A3&amp;rr=0.76277500%201435595668" TargetMode="External"/><Relationship Id="rId201" Type="http://schemas.openxmlformats.org/officeDocument/2006/relationships/hyperlink" Target="https://tw.stock.yahoo.com/s/list2.php?c=%B0%AA%AA%D1%AE%A7&amp;rr=0.76278300%201435595668" TargetMode="External"/><Relationship Id="rId222" Type="http://schemas.openxmlformats.org/officeDocument/2006/relationships/hyperlink" Target="https://tw.stock.yahoo.com/s/list2.php?c=%BC%ED%AE%F5&amp;rr=0.76284600%201435595668" TargetMode="External"/><Relationship Id="rId243" Type="http://schemas.openxmlformats.org/officeDocument/2006/relationships/hyperlink" Target="https://tw.stock.yahoo.com/s/list2.php?c=%A4%A4%C0%F4&amp;rr=0.76290000%201435595668" TargetMode="External"/><Relationship Id="rId264" Type="http://schemas.openxmlformats.org/officeDocument/2006/relationships/hyperlink" Target="https://tw.stock.yahoo.com/s/list2.php?c=%AB%C2%A8%CA&amp;rr=0.76295100%201435595668" TargetMode="External"/><Relationship Id="rId285" Type="http://schemas.openxmlformats.org/officeDocument/2006/relationships/hyperlink" Target="https://tw.stock.yahoo.com/s/list2.php?c=%BB%B7%AAF&amp;rr=0.76300100%201435595668" TargetMode="External"/><Relationship Id="rId17" Type="http://schemas.openxmlformats.org/officeDocument/2006/relationships/hyperlink" Target="https://tw.stock.yahoo.com/s/list.php?c=%C2d%AF%BC%C2%B4&amp;rr=0.76226100%201435595668" TargetMode="External"/><Relationship Id="rId38" Type="http://schemas.openxmlformats.org/officeDocument/2006/relationships/hyperlink" Target="https://tw.stock.yahoo.com/s/list.php?c=%C2d%AB%FC%BC%C6%C3%FE&amp;rr=0.76229500%201435595668" TargetMode="External"/><Relationship Id="rId59" Type="http://schemas.openxmlformats.org/officeDocument/2006/relationships/hyperlink" Target="https://tw.stock.yahoo.com/s/list.php?c=%BE%C9%BDu%AC%5B&amp;rr=0.76235700%201435595668" TargetMode="External"/><Relationship Id="rId103" Type="http://schemas.openxmlformats.org/officeDocument/2006/relationships/hyperlink" Target="https://tw.stock.yahoo.com/s/list2.php?c=%AC%EF%C0%B9%B8%CB%B8m&amp;rr=0.76249200%201435595668" TargetMode="External"/><Relationship Id="rId124" Type="http://schemas.openxmlformats.org/officeDocument/2006/relationships/hyperlink" Target="https://tw.stock.yahoo.com/s/list2.php?c=%B9q%ABH%B9s%B0%E2%B3q%B8%F4&amp;rr=0.76255800%201435595668" TargetMode="External"/><Relationship Id="rId310" Type="http://schemas.openxmlformats.org/officeDocument/2006/relationships/hyperlink" Target="javascript:%20CheckP(document.orderform,%20'Z',%20'/fcgi-bin/orderpage.fcg');" TargetMode="External"/><Relationship Id="rId70" Type="http://schemas.openxmlformats.org/officeDocument/2006/relationships/hyperlink" Target="https://tw.stock.yahoo.com/s/list.php?c=%C5%E3%A5%DC%BE%B9&amp;rr=0.76237400%201435595668" TargetMode="External"/><Relationship Id="rId91" Type="http://schemas.openxmlformats.org/officeDocument/2006/relationships/hyperlink" Target="https://tw.stock.yahoo.com/s/list2.php?c=%B9B%B0%CA%AAA%B9%A2&amp;rr=0.76245200%201435595668" TargetMode="External"/><Relationship Id="rId145" Type="http://schemas.openxmlformats.org/officeDocument/2006/relationships/hyperlink" Target="https://tw.stock.yahoo.com/s/list2.php?c=%A4p%A6%CC%A4%E2%BE%F7&amp;rr=0.76262500%201435595668" TargetMode="External"/><Relationship Id="rId166" Type="http://schemas.openxmlformats.org/officeDocument/2006/relationships/hyperlink" Target="https://tw.stock.yahoo.com/s/list2.php?c=%C1n%B1%B1&amp;rr=0.76270100%201435595668" TargetMode="External"/><Relationship Id="rId187" Type="http://schemas.openxmlformats.org/officeDocument/2006/relationships/hyperlink" Target="https://tw.stock.yahoo.com/s/list2.php?c=%A8%E4%A5%A6%B2%D5%A5%F3&amp;rr=0.76275100%201435595668" TargetMode="External"/><Relationship Id="rId1" Type="http://schemas.openxmlformats.org/officeDocument/2006/relationships/hyperlink" Target="https://tw.stock.yahoo.com/s/list.php?c=%A8%E4%A5%A6%B9q%A4l&amp;rr=0.76223400%201435595668" TargetMode="External"/><Relationship Id="rId212" Type="http://schemas.openxmlformats.org/officeDocument/2006/relationships/hyperlink" Target="https://tw.stock.yahoo.com/s/list2.php?c=3D%A6C%A6L&amp;rr=0.76280900%201435595668" TargetMode="External"/><Relationship Id="rId233" Type="http://schemas.openxmlformats.org/officeDocument/2006/relationships/hyperlink" Target="https://tw.stock.yahoo.com/s/list2.php?c=%A5%DD%A6%F9%B0%F3&amp;rr=0.76287700%201435595668" TargetMode="External"/><Relationship Id="rId254" Type="http://schemas.openxmlformats.org/officeDocument/2006/relationships/hyperlink" Target="https://tw.stock.yahoo.com/s/list2.php?c=%A9M%AE%E4&amp;rr=0.76292700%201435595668" TargetMode="External"/><Relationship Id="rId28" Type="http://schemas.openxmlformats.org/officeDocument/2006/relationships/hyperlink" Target="https://tw.stock.yahoo.com/s/list.php?c=%C2d%B3q%ABH&amp;rr=0.76228000%201435595668" TargetMode="External"/><Relationship Id="rId49" Type="http://schemas.openxmlformats.org/officeDocument/2006/relationships/hyperlink" Target="https://tw.stock.yahoo.com/s/list.php?c=IC%AB%CA%B8%CB%B4%FA%B8%D5&amp;rr=0.76231200%201435595668" TargetMode="External"/><Relationship Id="rId114" Type="http://schemas.openxmlformats.org/officeDocument/2006/relationships/hyperlink" Target="https://tw.stock.yahoo.com/s/list2.php?c=%B9B%B0%CA%BEc&amp;rr=0.76252700%201435595668" TargetMode="External"/><Relationship Id="rId275" Type="http://schemas.openxmlformats.org/officeDocument/2006/relationships/hyperlink" Target="https://tw.stock.yahoo.com/s/list2.php?c=%A5%FA%C4_&amp;rr=0.76297400%201435595668" TargetMode="External"/><Relationship Id="rId296" Type="http://schemas.openxmlformats.org/officeDocument/2006/relationships/hyperlink" Target="https://tw.stock.yahoo.com/q/ts?s=3706" TargetMode="External"/><Relationship Id="rId300" Type="http://schemas.openxmlformats.org/officeDocument/2006/relationships/hyperlink" Target="https://tw.stock.yahoo.com/pf/pfsel?stocklist=3499;" TargetMode="External"/><Relationship Id="rId60" Type="http://schemas.openxmlformats.org/officeDocument/2006/relationships/hyperlink" Target="https://tw.stock.yahoo.com/s/list.php?c=%A8%C6%B0%C8%BE%F7%BE%B9&amp;rr=0.76235800%201435595668" TargetMode="External"/><Relationship Id="rId81" Type="http://schemas.openxmlformats.org/officeDocument/2006/relationships/hyperlink" Target="https://tw.stock.yahoo.com/s/list.php?c=%B1M%B7%7E%B4%B9%B6%EA%A5N%A4u&amp;rr=0.76239600%201435595668" TargetMode="External"/><Relationship Id="rId135" Type="http://schemas.openxmlformats.org/officeDocument/2006/relationships/hyperlink" Target="https://tw.stock.yahoo.com/s/list2.php?c=%BA%F4%C1%CA%AC%DB%C3%F6&amp;rr=0.76259600%201435595668" TargetMode="External"/><Relationship Id="rId156" Type="http://schemas.openxmlformats.org/officeDocument/2006/relationships/hyperlink" Target="https://tw.stock.yahoo.com/s/list2.php?c=%C3%F6%C1%E4%B9s%B2%D5&amp;rr=0.76265100%201435595668" TargetMode="External"/><Relationship Id="rId177" Type="http://schemas.openxmlformats.org/officeDocument/2006/relationships/hyperlink" Target="https://tw.stock.yahoo.com/s/list2.php?c=%BA%AD%B4%E4%B3qAH&amp;rr=0.76272900%201435595668" TargetMode="External"/><Relationship Id="rId198" Type="http://schemas.openxmlformats.org/officeDocument/2006/relationships/hyperlink" Target="https://tw.stock.yahoo.com/s/list2.php?c=%B8%7D%BD%F1%A8%AE&amp;rr=0.76277600%201435595668" TargetMode="External"/><Relationship Id="rId202" Type="http://schemas.openxmlformats.org/officeDocument/2006/relationships/hyperlink" Target="https://tw.stock.yahoo.com/s/list2.php?c=%B3%A3%A7%F3%B7%A7%A9%C0&amp;rr=0.76278500%201435595668" TargetMode="External"/><Relationship Id="rId223" Type="http://schemas.openxmlformats.org/officeDocument/2006/relationships/hyperlink" Target="https://tw.stock.yahoo.com/s/list2.php?c=%B7s%A5%FA&amp;rr=0.76284800%201435595668" TargetMode="External"/><Relationship Id="rId244" Type="http://schemas.openxmlformats.org/officeDocument/2006/relationships/hyperlink" Target="https://tw.stock.yahoo.com/s/list2.php?c=%BB%B7%B6%AF&amp;rr=0.76290500%201435595668" TargetMode="External"/><Relationship Id="rId18" Type="http://schemas.openxmlformats.org/officeDocument/2006/relationships/hyperlink" Target="https://tw.stock.yahoo.com/s/list.php?c=%C2d%B9q%BE%F7&amp;rr=0.76226200%201435595668" TargetMode="External"/><Relationship Id="rId39" Type="http://schemas.openxmlformats.org/officeDocument/2006/relationships/hyperlink" Target="https://tw.stock.yahoo.com/s/list.php?c=%C2d%A8%E4%A5L&amp;rr=0.76229700%201435595668" TargetMode="External"/><Relationship Id="rId265" Type="http://schemas.openxmlformats.org/officeDocument/2006/relationships/hyperlink" Target="https://tw.stock.yahoo.com/s/list2.php?c=%A4%A4%C5%D6&amp;rr=0.76295300%201435595668" TargetMode="External"/><Relationship Id="rId286" Type="http://schemas.openxmlformats.org/officeDocument/2006/relationships/hyperlink" Target="https://tw.stock.yahoo.com/s/list2.php?c=%A5x%BFn%B9q&amp;rr=0.76300200%201435595668" TargetMode="External"/><Relationship Id="rId50" Type="http://schemas.openxmlformats.org/officeDocument/2006/relationships/hyperlink" Target="https://tw.stock.yahoo.com/s/list.php?c=TFT-LCD&amp;rr=0.76231400%201435595668" TargetMode="External"/><Relationship Id="rId104" Type="http://schemas.openxmlformats.org/officeDocument/2006/relationships/hyperlink" Target="https://tw.stock.yahoo.com/s/list2.php?c=%AE%D6%AF%E0%B5o%B9q&amp;rr=0.76249300%201435595668" TargetMode="External"/><Relationship Id="rId125" Type="http://schemas.openxmlformats.org/officeDocument/2006/relationships/hyperlink" Target="https://tw.stock.yahoo.com/s/list2.php?c=AppleWatch&amp;rr=0.76256600%201435595668" TargetMode="External"/><Relationship Id="rId146" Type="http://schemas.openxmlformats.org/officeDocument/2006/relationships/hyperlink" Target="https://tw.stock.yahoo.com/s/list2.php?c=%A5x%C6W100&amp;rr=0.76262700%201435595668" TargetMode="External"/><Relationship Id="rId167" Type="http://schemas.openxmlformats.org/officeDocument/2006/relationships/hyperlink" Target="https://tw.stock.yahoo.com/s/list2.php?c=%A4%E9%A4%B8%B6S%AD%C8&amp;rr=0.76270300%201435595668" TargetMode="External"/><Relationship Id="rId188" Type="http://schemas.openxmlformats.org/officeDocument/2006/relationships/hyperlink" Target="https://tw.stock.yahoo.com/s/list2.php?c=%A5%CD%A7%DE%B9A%B7%7E&amp;rr=0.76275300%201435595668" TargetMode="External"/><Relationship Id="rId311" Type="http://schemas.openxmlformats.org/officeDocument/2006/relationships/printerSettings" Target="../printerSettings/printerSettings9.bin"/><Relationship Id="rId71" Type="http://schemas.openxmlformats.org/officeDocument/2006/relationships/hyperlink" Target="https://tw.stock.yahoo.com/s/list.php?c=%B3q%B0T%BA%F4%B8%F4&amp;rr=0.76237500%201435595668" TargetMode="External"/><Relationship Id="rId92" Type="http://schemas.openxmlformats.org/officeDocument/2006/relationships/hyperlink" Target="https://tw.stock.yahoo.com/s/list2.php?c=%C6%5B%A5%FA%B6%BA%A9%B1%C1%CA%AA%AB%A4%A4%A4%DF&amp;rr=0.76245400%201435595668" TargetMode="External"/><Relationship Id="rId213" Type="http://schemas.openxmlformats.org/officeDocument/2006/relationships/hyperlink" Target="https://tw.stock.yahoo.com/s/list2.php?c=3D%A7%DE%B3N&amp;rr=0.76281300%201435595668" TargetMode="External"/><Relationship Id="rId234" Type="http://schemas.openxmlformats.org/officeDocument/2006/relationships/hyperlink" Target="https://tw.stock.yahoo.com/s/list2.php?c=%A9M%BA%D3&amp;rr=0.76287800%201435595668" TargetMode="External"/><Relationship Id="rId2" Type="http://schemas.openxmlformats.org/officeDocument/2006/relationships/hyperlink" Target="https://tw.stock.yahoo.com/s/list.php?c=%C0%E7%AB%D8&amp;rr=0.76223600%201435595668" TargetMode="External"/><Relationship Id="rId29" Type="http://schemas.openxmlformats.org/officeDocument/2006/relationships/hyperlink" Target="https://tw.stock.yahoo.com/s/list.php?c=%C2d%B9q%B9s&amp;rr=0.76228200%201435595668" TargetMode="External"/><Relationship Id="rId255" Type="http://schemas.openxmlformats.org/officeDocument/2006/relationships/hyperlink" Target="https://tw.stock.yahoo.com/s/list2.php?c=%ABn%B0T&amp;rr=0.76292900%201435595668" TargetMode="External"/><Relationship Id="rId276" Type="http://schemas.openxmlformats.org/officeDocument/2006/relationships/hyperlink" Target="https://tw.stock.yahoo.com/s/list2.php?c=%B7C%AFq&amp;rr=0.76297700%201435595668" TargetMode="External"/><Relationship Id="rId297" Type="http://schemas.openxmlformats.org/officeDocument/2006/relationships/hyperlink" Target="https://tw.rd.yahoo.com/referurl/stock/other/SIG=125v47s73/**https:/tw.screener.finance.yahoo.net/screener/check.html?symid=3706" TargetMode="External"/><Relationship Id="rId40" Type="http://schemas.openxmlformats.org/officeDocument/2006/relationships/hyperlink" Target="https://tw.stock.yahoo.com/s/list.php?c=%C2d%BA%DE%B2z&amp;rr=0.76229800%201435595668" TargetMode="External"/><Relationship Id="rId115" Type="http://schemas.openxmlformats.org/officeDocument/2006/relationships/hyperlink" Target="https://tw.stock.yahoo.com/s/list2.php?c=%C3%C4%AB%7E%B3q%B8%F4&amp;rr=0.76252800%201435595668" TargetMode="External"/><Relationship Id="rId136" Type="http://schemas.openxmlformats.org/officeDocument/2006/relationships/hyperlink" Target="https://tw.stock.yahoo.com/s/list2.php?c=%B0%D3%A5%CE%A4%A3%B0%CA%B2%A3&amp;rr=0.76259700%201435595668" TargetMode="External"/><Relationship Id="rId157" Type="http://schemas.openxmlformats.org/officeDocument/2006/relationships/hyperlink" Target="https://tw.stock.yahoo.com/s/list2.php?c=%C0%A6%A5%AE%A8%E0&amp;rr=0.76265600%201435595668" TargetMode="External"/><Relationship Id="rId178" Type="http://schemas.openxmlformats.org/officeDocument/2006/relationships/hyperlink" Target="https://tw.stock.yahoo.com/s/list2.php?c=Smart+TV&amp;rr=0.76273100%201435595668" TargetMode="External"/><Relationship Id="rId301" Type="http://schemas.openxmlformats.org/officeDocument/2006/relationships/hyperlink" Target="https://tw.stock.yahoo.com/pf/pfsel?stocklist=3499;" TargetMode="External"/><Relationship Id="rId61" Type="http://schemas.openxmlformats.org/officeDocument/2006/relationships/hyperlink" Target="https://tw.stock.yahoo.com/s/list.php?c=%A6L%AA%ED%BE%F7&amp;rr=0.76236000%201435595668" TargetMode="External"/><Relationship Id="rId82" Type="http://schemas.openxmlformats.org/officeDocument/2006/relationships/hyperlink" Target="https://tw.stock.yahoo.com/s/list.php?c=%B9q%ABH%2F%BC%C6%BE%DA%AAA%B0%C8&amp;rr=0.76239700%201435595668" TargetMode="External"/><Relationship Id="rId199" Type="http://schemas.openxmlformats.org/officeDocument/2006/relationships/hyperlink" Target="https://tw.stock.yahoo.com/s/list2.php?c=%AD%BB%B4%E4%B1%BE%B5P&amp;rr=0.76277800%201435595668" TargetMode="External"/><Relationship Id="rId203" Type="http://schemas.openxmlformats.org/officeDocument/2006/relationships/hyperlink" Target="https://tw.stock.yahoo.com/s/list2.php?c=%C2%E5%C0%F8%C0%CB%B4%FA%B3%5D%B3%C6&amp;rr=0.76278600%201435595668" TargetMode="External"/><Relationship Id="rId19" Type="http://schemas.openxmlformats.org/officeDocument/2006/relationships/hyperlink" Target="https://tw.stock.yahoo.com/s/list.php?c=%C2d%B9q%BE%B9&amp;rr=0.76226500%201435595668" TargetMode="External"/><Relationship Id="rId224" Type="http://schemas.openxmlformats.org/officeDocument/2006/relationships/hyperlink" Target="https://tw.stock.yahoo.com/s/list2.php?c=%B8%CE%B6%A9&amp;rr=0.76285400%201435595668" TargetMode="External"/><Relationship Id="rId245" Type="http://schemas.openxmlformats.org/officeDocument/2006/relationships/hyperlink" Target="https://tw.stock.yahoo.com/s/list2.php?c=%A4O%C4R&amp;rr=0.76290600%201435595668" TargetMode="External"/><Relationship Id="rId266" Type="http://schemas.openxmlformats.org/officeDocument/2006/relationships/hyperlink" Target="https://tw.stock.yahoo.com/s/list2.php?c=%A5x%ABn%C0%B0&amp;rr=0.76295400%201435595668" TargetMode="External"/><Relationship Id="rId287" Type="http://schemas.openxmlformats.org/officeDocument/2006/relationships/hyperlink" Target="https://tw.stock.yahoo.com/s/list2.php?c=%B4I%A8%B9&amp;rr=0.76300400%201435595668" TargetMode="External"/><Relationship Id="rId30" Type="http://schemas.openxmlformats.org/officeDocument/2006/relationships/hyperlink" Target="https://tw.stock.yahoo.com/s/list.php?c=%C2d%B3q%B8%F4&amp;rr=0.76228400%201435595668" TargetMode="External"/><Relationship Id="rId105" Type="http://schemas.openxmlformats.org/officeDocument/2006/relationships/hyperlink" Target="https://tw.stock.yahoo.com/s/list2.php?c=%BF%FB%C5K%A6%A9%A5%F3&amp;rr=0.76250100%201435595668" TargetMode="External"/><Relationship Id="rId126" Type="http://schemas.openxmlformats.org/officeDocument/2006/relationships/hyperlink" Target="https://tw.stock.yahoo.com/s/list2.php?c=iPhone+6&amp;rr=0.76256800%201435595668" TargetMode="External"/><Relationship Id="rId147" Type="http://schemas.openxmlformats.org/officeDocument/2006/relationships/hyperlink" Target="https://tw.stock.yahoo.com/s/list2.php?c=%A8%AE%B8%FC%B0O%BE%D0&amp;rr=0.76262800%201435595668" TargetMode="External"/><Relationship Id="rId168" Type="http://schemas.openxmlformats.org/officeDocument/2006/relationships/hyperlink" Target="https://tw.stock.yahoo.com/s/list2.php?c=%AC%FC%B0%EAADR&amp;rr=0.76270500%201435595668" TargetMode="External"/><Relationship Id="rId51" Type="http://schemas.openxmlformats.org/officeDocument/2006/relationships/hyperlink" Target="https://tw.stock.yahoo.com/s/list.php?c=Flash%BC%D2%B2%D5&amp;rr=0.76234200%201435595668" TargetMode="External"/><Relationship Id="rId72" Type="http://schemas.openxmlformats.org/officeDocument/2006/relationships/hyperlink" Target="https://tw.stock.yahoo.com/s/list.php?c=%B9q%B8%A3%B3q%B8%F4%B0%D3&amp;rr=0.76237700%201435595668" TargetMode="External"/><Relationship Id="rId93" Type="http://schemas.openxmlformats.org/officeDocument/2006/relationships/hyperlink" Target="https://tw.stock.yahoo.com/s/list2.php?c=%A6A%A5%CD%B4%60%C0%F4&amp;rr=0.76246200%201435595668" TargetMode="External"/><Relationship Id="rId189" Type="http://schemas.openxmlformats.org/officeDocument/2006/relationships/hyperlink" Target="https://tw.stock.yahoo.com/s/list2.php?c=%C4%AB%AAG&amp;rr=0.76275700%201435595668" TargetMode="External"/><Relationship Id="rId3" Type="http://schemas.openxmlformats.org/officeDocument/2006/relationships/hyperlink" Target="https://tw.stock.yahoo.com/s/list.php?c=%AF%E8%B9B&amp;rr=0.76223800%201435595668" TargetMode="External"/><Relationship Id="rId214" Type="http://schemas.openxmlformats.org/officeDocument/2006/relationships/hyperlink" Target="https://tw.stock.yahoo.com/s/list2.php?c=Windows8&amp;rr=0.76281400%201435595668" TargetMode="External"/><Relationship Id="rId235" Type="http://schemas.openxmlformats.org/officeDocument/2006/relationships/hyperlink" Target="https://tw.stock.yahoo.com/s/list2.php?c=%AA%F8%BAa&amp;rr=0.76288000%201435595668" TargetMode="External"/><Relationship Id="rId256" Type="http://schemas.openxmlformats.org/officeDocument/2006/relationships/hyperlink" Target="https://tw.stock.yahoo.com/s/list2.php?c=%B0%EA%A5%A8&amp;rr=0.76293300%201435595668" TargetMode="External"/><Relationship Id="rId277" Type="http://schemas.openxmlformats.org/officeDocument/2006/relationships/hyperlink" Target="https://tw.stock.yahoo.com/s/list2.php?c=%BCs%B9F&amp;rr=0.76297900%201435595668" TargetMode="External"/><Relationship Id="rId298" Type="http://schemas.openxmlformats.org/officeDocument/2006/relationships/hyperlink" Target="javascript:%20CheckP(document.orderform,%20'Z',%20'/fcgi-bin/orderpage.fcg');" TargetMode="External"/><Relationship Id="rId116" Type="http://schemas.openxmlformats.org/officeDocument/2006/relationships/hyperlink" Target="https://tw.stock.yahoo.com/s/list2.php?c=%B7s%A5%FC%A5%CD%A7%DE&amp;rr=0.76253000%201435595668" TargetMode="External"/><Relationship Id="rId137" Type="http://schemas.openxmlformats.org/officeDocument/2006/relationships/hyperlink" Target="https://tw.stock.yahoo.com/s/list2.php?c=%A4%BA%BB%DD%A6%AC%A6%A8&amp;rr=0.76260300%201435595668" TargetMode="External"/><Relationship Id="rId158" Type="http://schemas.openxmlformats.org/officeDocument/2006/relationships/hyperlink" Target="https://tw.stock.yahoo.com/s/list2.php?c=QDII&amp;rr=0.76265800%201435595668" TargetMode="External"/><Relationship Id="rId302" Type="http://schemas.openxmlformats.org/officeDocument/2006/relationships/hyperlink" Target="https://tw.stock.yahoo.com/q/ts?s=3499" TargetMode="External"/><Relationship Id="rId20" Type="http://schemas.openxmlformats.org/officeDocument/2006/relationships/hyperlink" Target="https://tw.stock.yahoo.com/s/list.php?c=%C2d%A4%C6%A4u&amp;rr=0.76226600%201435595668" TargetMode="External"/><Relationship Id="rId41" Type="http://schemas.openxmlformats.org/officeDocument/2006/relationships/hyperlink" Target="https://tw.stock.yahoo.com/s/list.php?c=%C2d%A4%BD%A5q&amp;rr=0.76229900%201435595668" TargetMode="External"/><Relationship Id="rId62" Type="http://schemas.openxmlformats.org/officeDocument/2006/relationships/hyperlink" Target="https://tw.stock.yahoo.com/s/list.php?c=%B3s%B1%B5%BE%B9&amp;rr=0.76236100%201435595668" TargetMode="External"/><Relationship Id="rId83" Type="http://schemas.openxmlformats.org/officeDocument/2006/relationships/hyperlink" Target="https://tw.stock.yahoo.com/s/list.php?c=%B5L%BDu%BA%F4%B8%F4&amp;rr=0.76239900%201435595668" TargetMode="External"/><Relationship Id="rId179" Type="http://schemas.openxmlformats.org/officeDocument/2006/relationships/hyperlink" Target="https://tw.stock.yahoo.com/s/list2.php?c=iPad+Air&amp;rr=0.76273200%201435595668" TargetMode="External"/><Relationship Id="rId190" Type="http://schemas.openxmlformats.org/officeDocument/2006/relationships/hyperlink" Target="https://tw.stock.yahoo.com/s/list2.php?c=%B0%AA%A6%A8%AA%F8&amp;rr=0.76275900%201435595668" TargetMode="External"/><Relationship Id="rId204" Type="http://schemas.openxmlformats.org/officeDocument/2006/relationships/hyperlink" Target="https://tw.stock.yahoo.com/s/list2.php?c=%BA%AD%AA%D1%B3q&amp;rr=0.76279200%201435595668" TargetMode="External"/><Relationship Id="rId225" Type="http://schemas.openxmlformats.org/officeDocument/2006/relationships/hyperlink" Target="https://tw.stock.yahoo.com/s/list2.php?c=%A5%C3%C2%D7%BEl&amp;rr=0.76285600%201435595668" TargetMode="External"/><Relationship Id="rId246" Type="http://schemas.openxmlformats.org/officeDocument/2006/relationships/hyperlink" Target="https://tw.stock.yahoo.com/s/list2.php?c=%BB%F5%A5%FA&amp;rr=0.76290800%201435595668" TargetMode="External"/><Relationship Id="rId267" Type="http://schemas.openxmlformats.org/officeDocument/2006/relationships/hyperlink" Target="https://tw.stock.yahoo.com/s/list2.php?c=%AA%A2%ACw&amp;rr=0.76295600%201435595668" TargetMode="External"/><Relationship Id="rId288" Type="http://schemas.openxmlformats.org/officeDocument/2006/relationships/hyperlink" Target="https://tw.stock.yahoo.com/s/list2.php?c=%A4%A4%ABH&amp;rr=0.76300700%201435595668" TargetMode="External"/><Relationship Id="rId106" Type="http://schemas.openxmlformats.org/officeDocument/2006/relationships/hyperlink" Target="https://tw.stock.yahoo.com/s/list2.php?c=%AA%F7%BF%C4MOU&amp;rr=0.76250200%201435595668" TargetMode="External"/><Relationship Id="rId127" Type="http://schemas.openxmlformats.org/officeDocument/2006/relationships/hyperlink" Target="https://tw.stock.yahoo.com/s/list2.php?c=%A4%A4%B7%A7%B3q%B8%F4&amp;rr=0.76256900%201435595668" TargetMode="External"/><Relationship Id="rId10" Type="http://schemas.openxmlformats.org/officeDocument/2006/relationships/hyperlink" Target="https://tw.stock.yahoo.com/s/list.php?c=%BE%CC%C3%D2&amp;rr=0.76224900%201435595668" TargetMode="External"/><Relationship Id="rId31" Type="http://schemas.openxmlformats.org/officeDocument/2006/relationships/hyperlink" Target="https://tw.stock.yahoo.com/s/list.php?c=%C2d%B8%EA%AAA&amp;rr=0.76228500%201435595668" TargetMode="External"/><Relationship Id="rId52" Type="http://schemas.openxmlformats.org/officeDocument/2006/relationships/hyperlink" Target="https://tw.stock.yahoo.com/s/list.php?c=%A5D%BE%F7%AAO&amp;rr=0.76234500%201435595668" TargetMode="External"/><Relationship Id="rId73" Type="http://schemas.openxmlformats.org/officeDocument/2006/relationships/hyperlink" Target="https://tw.stock.yahoo.com/s/list.php?c=%A8t%B2%CE%BE%E3%A6X&amp;rr=0.76237800%201435595668" TargetMode="External"/><Relationship Id="rId94" Type="http://schemas.openxmlformats.org/officeDocument/2006/relationships/hyperlink" Target="https://tw.stock.yahoo.com/s/list2.php?c=Apple+iTV&amp;rr=0.76246400%201435595668" TargetMode="External"/><Relationship Id="rId148" Type="http://schemas.openxmlformats.org/officeDocument/2006/relationships/hyperlink" Target="https://tw.stock.yahoo.com/s/list2.php?c=%A4%A4%B7%A7%C2%E5%C0%F8&amp;rr=0.76263000%201435595668" TargetMode="External"/><Relationship Id="rId169" Type="http://schemas.openxmlformats.org/officeDocument/2006/relationships/hyperlink" Target="https://tw.stock.yahoo.com/s/list2.php?c=%A5x%C6W50&amp;rr=0.76271000%201435595668" TargetMode="External"/><Relationship Id="rId4" Type="http://schemas.openxmlformats.org/officeDocument/2006/relationships/hyperlink" Target="https://tw.stock.yahoo.com/s/list.php?c=%C6%5B%A5%FA&amp;rr=0.76223900%201435595668" TargetMode="External"/><Relationship Id="rId180" Type="http://schemas.openxmlformats.org/officeDocument/2006/relationships/hyperlink" Target="https://tw.stock.yahoo.com/s/list2.php?c=%B3%A3%A7%F3&amp;rr=0.76273400%201435595668" TargetMode="External"/><Relationship Id="rId215" Type="http://schemas.openxmlformats.org/officeDocument/2006/relationships/hyperlink" Target="https://tw.stock.yahoo.com/s/list2.php?c=%B8%EA%B2%A3%C3D%A7%F7%AA%D1&amp;rr=0.76281600%201435595668" TargetMode="External"/><Relationship Id="rId236" Type="http://schemas.openxmlformats.org/officeDocument/2006/relationships/hyperlink" Target="https://tw.stock.yahoo.com/s/list2.php?c=%AA%F7%A4%AF%C4_&amp;rr=0.76288500%201435595668" TargetMode="External"/><Relationship Id="rId257" Type="http://schemas.openxmlformats.org/officeDocument/2006/relationships/hyperlink" Target="https://tw.stock.yahoo.com/s/list2.php?c=%AAF%ACv&amp;rr=0.76293500%201435595668" TargetMode="External"/><Relationship Id="rId278" Type="http://schemas.openxmlformats.org/officeDocument/2006/relationships/hyperlink" Target="https://tw.stock.yahoo.com/s/list2.php?c=%A4%B8%A4j&amp;rr=0.76298000%201435595668" TargetMode="External"/><Relationship Id="rId303" Type="http://schemas.openxmlformats.org/officeDocument/2006/relationships/hyperlink" Target="https://tw.rd.yahoo.com/referurl/stock/other/SIG=125v47s73/**https:/tw.screener.finance.yahoo.net/screener/check.html?symid=3499" TargetMode="External"/><Relationship Id="rId42" Type="http://schemas.openxmlformats.org/officeDocument/2006/relationships/hyperlink" Target="https://tw.stock.yahoo.com/s/list.php?c=%C2d%BE%CC%C3%D2&amp;rr=0.76230100%201435595668" TargetMode="External"/><Relationship Id="rId84" Type="http://schemas.openxmlformats.org/officeDocument/2006/relationships/hyperlink" Target="https://tw.stock.yahoo.com/s/list.php?c=LED&amp;rr=0.76240100%201435595668" TargetMode="External"/><Relationship Id="rId138" Type="http://schemas.openxmlformats.org/officeDocument/2006/relationships/hyperlink" Target="https://tw.stock.yahoo.com/s/list2.php?c=%A5%DB%BE%A5%B2m&amp;rr=0.76260500%201435595668" TargetMode="External"/><Relationship Id="rId191" Type="http://schemas.openxmlformats.org/officeDocument/2006/relationships/hyperlink" Target="https://tw.stock.yahoo.com/s/list2.php?c=%A4%A4%B0%EA%B8%EA%B2%A3&amp;rr=0.76276000%201435595668" TargetMode="External"/><Relationship Id="rId205" Type="http://schemas.openxmlformats.org/officeDocument/2006/relationships/hyperlink" Target="https://tw.stock.yahoo.com/s/list2.php?c=%AAx%A6%DB%B0%CA%A4%C6&amp;rr=0.76279600%201435595668" TargetMode="External"/><Relationship Id="rId247" Type="http://schemas.openxmlformats.org/officeDocument/2006/relationships/hyperlink" Target="https://tw.stock.yahoo.com/s/list2.php?c=%A4j%C1p%A4j&amp;rr=0.76290900%201435595668" TargetMode="External"/><Relationship Id="rId107" Type="http://schemas.openxmlformats.org/officeDocument/2006/relationships/hyperlink" Target="https://tw.stock.yahoo.com/s/list2.php?c=%BB%A8%A6v%B7%A7%A9%C0&amp;rr=0.76250400%201435595668" TargetMode="External"/><Relationship Id="rId289" Type="http://schemas.openxmlformats.org/officeDocument/2006/relationships/hyperlink" Target="https://tw.stock.yahoo.com/s/list2.php?c=%C0s%A8%B9&amp;rr=0.76300900%201435595668" TargetMode="External"/><Relationship Id="rId11" Type="http://schemas.openxmlformats.org/officeDocument/2006/relationships/hyperlink" Target="https://tw.stock.yahoo.com/s/list.php?c=%A5%AB%BB%7B%C1%CA&amp;rr=0.76225000%201435595668" TargetMode="External"/><Relationship Id="rId53" Type="http://schemas.openxmlformats.org/officeDocument/2006/relationships/hyperlink" Target="https://tw.stock.yahoo.com/s/list.php?c=%A5%FA%BA%D0%A4%F9&amp;rr=0.76234600%201435595668" TargetMode="External"/><Relationship Id="rId149" Type="http://schemas.openxmlformats.org/officeDocument/2006/relationships/hyperlink" Target="https://tw.stock.yahoo.com/s/list2.php?c=iPad+mini&amp;rr=0.76263600%201435595668" TargetMode="External"/><Relationship Id="rId95" Type="http://schemas.openxmlformats.org/officeDocument/2006/relationships/hyperlink" Target="https://tw.stock.yahoo.com/s/list2.php?c=%AE%F5%BB%CB%A4%C9%AD%C8&amp;rr=0.76246600%201435595668" TargetMode="External"/><Relationship Id="rId160" Type="http://schemas.openxmlformats.org/officeDocument/2006/relationships/hyperlink" Target="https://tw.stock.yahoo.com/s/list2.php?c=Google+TV&amp;rr=0.76266100%201435595668" TargetMode="External"/><Relationship Id="rId216" Type="http://schemas.openxmlformats.org/officeDocument/2006/relationships/hyperlink" Target="https://tw.stock.yahoo.com/s/list2.php?c=%B5%D8%A5%DF&amp;rr=0.76282800%201435595668" TargetMode="External"/><Relationship Id="rId258" Type="http://schemas.openxmlformats.org/officeDocument/2006/relationships/hyperlink" Target="https://tw.stock.yahoo.com/s/list2.php?c=%A4j%A6P&amp;rr=0.76293600%201435595668" TargetMode="External"/><Relationship Id="rId22" Type="http://schemas.openxmlformats.org/officeDocument/2006/relationships/hyperlink" Target="https://tw.stock.yahoo.com/s/list.php?c=%C2d%AAo%B9q&amp;rr=0.76227200%201435595668" TargetMode="External"/><Relationship Id="rId64" Type="http://schemas.openxmlformats.org/officeDocument/2006/relationships/hyperlink" Target="https://tw.stock.yahoo.com/s/list.php?c=%AE%F8%B6O%A9%CA%B9q%A4l%B2%A3%AB%7E&amp;rr=0.76236400%201435595668" TargetMode="External"/><Relationship Id="rId118" Type="http://schemas.openxmlformats.org/officeDocument/2006/relationships/hyperlink" Target="https://tw.stock.yahoo.com/s/list2.php?c=4K2K+TV&amp;rr=0.76253900%201435595668" TargetMode="External"/><Relationship Id="rId171" Type="http://schemas.openxmlformats.org/officeDocument/2006/relationships/hyperlink" Target="https://tw.stock.yahoo.com/s/list2.php?c=%A4T%ACP&amp;rr=0.76271300%201435595668" TargetMode="External"/><Relationship Id="rId227" Type="http://schemas.openxmlformats.org/officeDocument/2006/relationships/hyperlink" Target="https://tw.stock.yahoo.com/s/list2.php?c=%A7%D3%B6W&amp;rr=0.76285900%201435595668" TargetMode="External"/><Relationship Id="rId269" Type="http://schemas.openxmlformats.org/officeDocument/2006/relationships/hyperlink" Target="https://tw.stock.yahoo.com/s/list2.php?c=%A5x%B6%EC&amp;rr=0.76296200%201435595668" TargetMode="External"/><Relationship Id="rId33" Type="http://schemas.openxmlformats.org/officeDocument/2006/relationships/hyperlink" Target="https://tw.stock.yahoo.com/s/list.php?c=%C2d%C0%E7%AB%D8&amp;rr=0.76228700%201435595668" TargetMode="External"/><Relationship Id="rId129" Type="http://schemas.openxmlformats.org/officeDocument/2006/relationships/hyperlink" Target="https://tw.stock.yahoo.com/s/list2.php?c=%A7C%BB%F9%B4%BC%BCz%A4%E2%BE%F7&amp;rr=0.76257700%201435595668" TargetMode="External"/><Relationship Id="rId280" Type="http://schemas.openxmlformats.org/officeDocument/2006/relationships/hyperlink" Target="https://tw.stock.yahoo.com/s/list2.php?c=%ADZ%AA%BF&amp;rr=0.76298500%201435595668" TargetMode="External"/><Relationship Id="rId75" Type="http://schemas.openxmlformats.org/officeDocument/2006/relationships/hyperlink" Target="https://tw.stock.yahoo.com/s/list.php?c=Internet%AC%DB%C3%F6&amp;rr=0.76238300%201435595668" TargetMode="External"/><Relationship Id="rId140" Type="http://schemas.openxmlformats.org/officeDocument/2006/relationships/hyperlink" Target="https://tw.stock.yahoo.com/s/list2.php?c=%B4%E4%AA%D1%B3q&amp;rr=0.76260800%201435595668" TargetMode="External"/><Relationship Id="rId182" Type="http://schemas.openxmlformats.org/officeDocument/2006/relationships/hyperlink" Target="https://tw.stock.yahoo.com/s/list2.php?c=%A4%D3%B6%A7%B8%60%AF%E0&amp;rr=0.76274000%201435595668" TargetMode="External"/><Relationship Id="rId6" Type="http://schemas.openxmlformats.org/officeDocument/2006/relationships/hyperlink" Target="https://tw.stock.yahoo.com/s/list.php?c=%B6T%A9%F6%A6%CA%B3f&amp;rr=0.76224200%201435595668" TargetMode="External"/><Relationship Id="rId238" Type="http://schemas.openxmlformats.org/officeDocument/2006/relationships/hyperlink" Target="https://tw.stock.yahoo.com/s/list2.php?c=%A9%F4%A9%F4&amp;rr=0.76288800%201435595668" TargetMode="External"/><Relationship Id="rId291" Type="http://schemas.openxmlformats.org/officeDocument/2006/relationships/hyperlink" Target="https://tw.stock.yahoo.com/s/list2.php?c=%C0M%B6%E9&amp;rr=0.76301400%201435595668" TargetMode="External"/><Relationship Id="rId305" Type="http://schemas.openxmlformats.org/officeDocument/2006/relationships/hyperlink" Target="https://tw.stock.yahoo.com/q/bc?s=330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設定"/>
  <dimension ref="A1:D11"/>
  <sheetViews>
    <sheetView workbookViewId="0">
      <selection activeCell="B23" sqref="B23"/>
    </sheetView>
  </sheetViews>
  <sheetFormatPr defaultRowHeight="16.5"/>
  <cols>
    <col min="1" max="1" width="19.25" style="81" customWidth="1"/>
    <col min="2" max="2" width="9" style="81"/>
    <col min="3" max="3" width="9.5" style="81" bestFit="1" customWidth="1"/>
    <col min="4" max="16384" width="9" style="81"/>
  </cols>
  <sheetData>
    <row r="1" spans="1:4">
      <c r="A1" s="89" t="s">
        <v>280</v>
      </c>
      <c r="B1" s="89" t="s">
        <v>222</v>
      </c>
      <c r="C1" s="89">
        <v>20150703</v>
      </c>
      <c r="D1" s="83" t="s">
        <v>225</v>
      </c>
    </row>
    <row r="2" spans="1:4">
      <c r="A2" s="89" t="s">
        <v>279</v>
      </c>
      <c r="B2" s="89" t="s">
        <v>221</v>
      </c>
      <c r="C2" s="89">
        <v>20150605</v>
      </c>
    </row>
    <row r="3" spans="1:4">
      <c r="A3" s="89" t="s">
        <v>278</v>
      </c>
      <c r="B3" s="89" t="s">
        <v>220</v>
      </c>
      <c r="C3" s="89">
        <v>20150508</v>
      </c>
      <c r="D3" s="82"/>
    </row>
    <row r="4" spans="1:4">
      <c r="A4" s="89" t="s">
        <v>281</v>
      </c>
      <c r="B4" s="89" t="s">
        <v>223</v>
      </c>
      <c r="C4" s="90">
        <v>1.4999999999999999E-2</v>
      </c>
    </row>
    <row r="5" spans="1:4">
      <c r="A5" s="91" t="s">
        <v>282</v>
      </c>
      <c r="B5" s="91" t="s">
        <v>220</v>
      </c>
      <c r="C5" s="91">
        <v>20150724</v>
      </c>
      <c r="D5" s="82"/>
    </row>
    <row r="6" spans="1:4">
      <c r="A6" s="91" t="s">
        <v>283</v>
      </c>
      <c r="B6" s="91" t="s">
        <v>221</v>
      </c>
      <c r="C6" s="91">
        <v>20150717</v>
      </c>
    </row>
    <row r="7" spans="1:4">
      <c r="A7" s="91" t="s">
        <v>284</v>
      </c>
      <c r="B7" s="91" t="s">
        <v>222</v>
      </c>
      <c r="C7" s="91">
        <v>20150709</v>
      </c>
    </row>
    <row r="8" spans="1:4">
      <c r="A8" s="91" t="s">
        <v>285</v>
      </c>
      <c r="B8" s="91"/>
      <c r="C8" s="92">
        <v>1.2E-2</v>
      </c>
    </row>
    <row r="9" spans="1:4">
      <c r="A9" s="188" t="s">
        <v>224</v>
      </c>
      <c r="B9" s="188"/>
      <c r="C9" s="188">
        <v>21</v>
      </c>
    </row>
    <row r="10" spans="1:4">
      <c r="A10" s="188" t="s">
        <v>607</v>
      </c>
      <c r="B10" s="188"/>
      <c r="C10" s="188"/>
    </row>
    <row r="11" spans="1:4">
      <c r="A11" s="188" t="s">
        <v>608</v>
      </c>
      <c r="B11" s="188"/>
      <c r="C11" s="188"/>
    </row>
  </sheetData>
  <phoneticPr fontId="2" type="noConversion"/>
  <hyperlinks>
    <hyperlink ref="D1" r:id="rId1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紅綠燈"/>
  <dimension ref="A1:Y346"/>
  <sheetViews>
    <sheetView tabSelected="1" zoomScale="85" zoomScaleNormal="85" workbookViewId="0">
      <selection activeCell="B40" sqref="B40"/>
    </sheetView>
  </sheetViews>
  <sheetFormatPr defaultRowHeight="16.5"/>
  <cols>
    <col min="1" max="1" width="10.625" style="3" customWidth="1"/>
    <col min="2" max="2" width="58.125" style="3" customWidth="1"/>
    <col min="3" max="4" width="10.625" style="3" customWidth="1"/>
    <col min="5" max="9" width="12.625" style="3" customWidth="1"/>
    <col min="10" max="10" width="6.125" style="3" customWidth="1"/>
    <col min="11" max="13" width="0.5" style="3" customWidth="1"/>
    <col min="14" max="14" width="15.625" customWidth="1"/>
    <col min="15" max="15" width="6.5" customWidth="1"/>
    <col min="16" max="16" width="6.125" customWidth="1"/>
    <col min="17" max="17" width="6.875" customWidth="1"/>
    <col min="18" max="22" width="6.125" customWidth="1"/>
    <col min="23" max="25" width="5.625" customWidth="1"/>
    <col min="26" max="26" width="2.625" customWidth="1"/>
  </cols>
  <sheetData>
    <row r="1" spans="1:25" ht="27.95" customHeight="1" thickBot="1">
      <c r="A1" s="275"/>
      <c r="B1" s="276" t="s">
        <v>684</v>
      </c>
      <c r="C1" s="276">
        <v>14</v>
      </c>
      <c r="D1" s="1"/>
      <c r="E1" s="1"/>
      <c r="F1" s="1"/>
      <c r="G1" s="20"/>
      <c r="H1" s="1"/>
      <c r="I1" s="1"/>
      <c r="J1" s="2"/>
      <c r="N1" s="190" t="s">
        <v>0</v>
      </c>
      <c r="O1" s="131">
        <v>0</v>
      </c>
      <c r="P1" s="132">
        <v>1</v>
      </c>
      <c r="Q1" s="132">
        <v>1</v>
      </c>
      <c r="R1" s="132">
        <v>1</v>
      </c>
      <c r="S1" s="133">
        <v>0</v>
      </c>
      <c r="T1" s="197" t="str">
        <f>"合計 " &amp; SUM(O1:S1) &amp; " 分"</f>
        <v>合計 3 分</v>
      </c>
      <c r="U1" s="197"/>
      <c r="V1" s="197"/>
      <c r="W1" s="198" t="s">
        <v>612</v>
      </c>
      <c r="X1" s="199"/>
      <c r="Y1" s="2"/>
    </row>
    <row r="2" spans="1:25" ht="20.25" thickBot="1">
      <c r="A2" s="4"/>
      <c r="B2" s="5"/>
      <c r="C2" s="5"/>
      <c r="D2" s="5"/>
      <c r="E2" s="5"/>
      <c r="F2" s="5"/>
      <c r="G2" s="5"/>
      <c r="H2" s="5"/>
      <c r="I2" s="5"/>
      <c r="J2" s="6"/>
      <c r="N2" s="134" t="s">
        <v>1</v>
      </c>
      <c r="O2" s="135" t="s">
        <v>2</v>
      </c>
      <c r="P2" s="136" t="s">
        <v>3</v>
      </c>
      <c r="Q2" s="136" t="s">
        <v>4</v>
      </c>
      <c r="R2" s="136" t="s">
        <v>5</v>
      </c>
      <c r="S2" s="136" t="s">
        <v>6</v>
      </c>
      <c r="T2" s="136" t="s">
        <v>7</v>
      </c>
      <c r="U2" s="137" t="s">
        <v>8</v>
      </c>
      <c r="V2" s="138" t="s">
        <v>9</v>
      </c>
      <c r="W2" s="200" t="s">
        <v>10</v>
      </c>
      <c r="X2" s="201"/>
      <c r="Y2" s="2"/>
    </row>
    <row r="3" spans="1:25">
      <c r="A3" s="7"/>
      <c r="B3" s="8"/>
      <c r="C3" s="9"/>
      <c r="D3" s="9"/>
      <c r="E3" s="8"/>
      <c r="F3" s="8"/>
      <c r="G3" s="8"/>
      <c r="H3" s="8"/>
      <c r="I3" s="8"/>
      <c r="J3" s="10"/>
      <c r="N3" s="139" t="s">
        <v>609</v>
      </c>
      <c r="O3" s="140">
        <f>VLOOKUP("營業收入淨額",$B$40:$L$500,9,0)</f>
        <v>158</v>
      </c>
      <c r="P3" s="141">
        <f>VLOOKUP("營業收入淨額",$B$40:$L$500,8,0)</f>
        <v>215</v>
      </c>
      <c r="Q3" s="141">
        <f>VLOOKUP("營業收入淨額",$B$40:$L$500,7,0)</f>
        <v>160</v>
      </c>
      <c r="R3" s="141">
        <f>VLOOKUP("營業收入淨額",$B$40:$L$500,6,0)</f>
        <v>192</v>
      </c>
      <c r="S3" s="141">
        <f>VLOOKUP("營業收入淨額",$B$40:$L$500,5,0)</f>
        <v>206</v>
      </c>
      <c r="T3" s="141">
        <f>VLOOKUP("營業收入淨額",$B$40:$L$500,4,0)</f>
        <v>231</v>
      </c>
      <c r="U3" s="141">
        <f>VLOOKUP("營業收入淨額",$B$40:$L$500,3,0)</f>
        <v>184</v>
      </c>
      <c r="V3" s="142">
        <f>VLOOKUP("營業收入淨額",$B$40:$L$500,2,0)</f>
        <v>209</v>
      </c>
      <c r="W3" s="63">
        <f>MAX(O3:V3)</f>
        <v>231</v>
      </c>
      <c r="X3" s="1"/>
      <c r="Y3" s="2"/>
    </row>
    <row r="4" spans="1:25">
      <c r="A4" s="7"/>
      <c r="B4" s="9"/>
      <c r="C4" s="9"/>
      <c r="D4" s="9"/>
      <c r="E4" s="9"/>
      <c r="F4" s="9"/>
      <c r="G4" s="9"/>
      <c r="H4" s="9"/>
      <c r="I4" s="9"/>
      <c r="J4" s="10"/>
      <c r="N4" s="143" t="s">
        <v>12</v>
      </c>
      <c r="O4" s="144">
        <f>VLOOKUP("營業成本",$B$40:$L$500,9,0)</f>
        <v>67</v>
      </c>
      <c r="P4" s="145">
        <f>VLOOKUP("營業成本",$B$40:$L$500,8,0)</f>
        <v>85</v>
      </c>
      <c r="Q4" s="145">
        <f>VLOOKUP("營業成本",$B$40:$L$500,7,0)</f>
        <v>65</v>
      </c>
      <c r="R4" s="145">
        <f>VLOOKUP("營業成本",$B$40:$L$500,6,0)</f>
        <v>75</v>
      </c>
      <c r="S4" s="145">
        <f>VLOOKUP("營業成本",$B$40:$L$500,5,0)</f>
        <v>86</v>
      </c>
      <c r="T4" s="145">
        <f>VLOOKUP("營業成本",$B$40:$L$500,4,0)</f>
        <v>96</v>
      </c>
      <c r="U4" s="145">
        <f>VLOOKUP("營業成本",$B$40:$L$500,3,0)</f>
        <v>78</v>
      </c>
      <c r="V4" s="146">
        <f>VLOOKUP("營業成本",$B$40:$L$500,2,0)</f>
        <v>84</v>
      </c>
      <c r="W4" s="11"/>
      <c r="X4" s="12"/>
      <c r="Y4" s="13"/>
    </row>
    <row r="5" spans="1:25">
      <c r="A5" s="7"/>
      <c r="B5" s="8"/>
      <c r="C5" s="9"/>
      <c r="D5" s="9"/>
      <c r="E5" s="8"/>
      <c r="F5" s="8"/>
      <c r="G5" s="8"/>
      <c r="H5" s="8"/>
      <c r="I5" s="8"/>
      <c r="J5" s="10"/>
      <c r="N5" s="143" t="s">
        <v>611</v>
      </c>
      <c r="O5" s="144">
        <f>VLOOKUP("營業利益",$B$40:$L$500,9,0)</f>
        <v>38</v>
      </c>
      <c r="P5" s="145">
        <f>VLOOKUP("營業利益",$B$40:$L$500,8,0)</f>
        <v>60</v>
      </c>
      <c r="Q5" s="145">
        <f>VLOOKUP("營業利益",$B$40:$L$500,7,0)</f>
        <v>39</v>
      </c>
      <c r="R5" s="145">
        <f>VLOOKUP("營業利益",$B$40:$L$500,6,0)</f>
        <v>53</v>
      </c>
      <c r="S5" s="145">
        <f>VLOOKUP("營業利益",$B$40:$L$500,5,0)</f>
        <v>57</v>
      </c>
      <c r="T5" s="145">
        <f>VLOOKUP("營業利益",$B$40:$L$500,4,0)</f>
        <v>68</v>
      </c>
      <c r="U5" s="145">
        <f>VLOOKUP("營業利益",$B$40:$L$500,3,0)</f>
        <v>41</v>
      </c>
      <c r="V5" s="146">
        <f>VLOOKUP("營業利益",$B$40:$L$500,2,0)</f>
        <v>59</v>
      </c>
      <c r="W5" s="11"/>
      <c r="X5" s="12"/>
      <c r="Y5" s="13"/>
    </row>
    <row r="6" spans="1:25">
      <c r="A6" s="7"/>
      <c r="B6" s="9"/>
      <c r="C6" s="9"/>
      <c r="D6" s="9"/>
      <c r="E6" s="9"/>
      <c r="F6" s="9"/>
      <c r="G6" s="9"/>
      <c r="H6" s="9"/>
      <c r="I6" s="9"/>
      <c r="J6" s="10"/>
      <c r="N6" s="143" t="s">
        <v>13</v>
      </c>
      <c r="O6" s="144">
        <f>VLOOKUP("營業外收入合計",$B$40:$L$500,9,0)</f>
        <v>3</v>
      </c>
      <c r="P6" s="145">
        <f>VLOOKUP("營業外收入合計",$B$40:$L$500,8,0)</f>
        <v>5</v>
      </c>
      <c r="Q6" s="145">
        <f>VLOOKUP("營業外收入合計",$B$40:$L$500,7,0)</f>
        <v>5</v>
      </c>
      <c r="R6" s="145">
        <f>VLOOKUP("營業外收入合計",$B$40:$L$500,6,0)</f>
        <v>1</v>
      </c>
      <c r="S6" s="145">
        <f>VLOOKUP("營業外收入合計",$B$40:$L$500,5,0)</f>
        <v>2</v>
      </c>
      <c r="T6" s="145">
        <f>VLOOKUP("營業外收入合計",$B$40:$L$500,4,0)</f>
        <v>2</v>
      </c>
      <c r="U6" s="145">
        <f>VLOOKUP("營業外收入合計",$B$40:$L$500,3,0)</f>
        <v>3</v>
      </c>
      <c r="V6" s="146" t="str">
        <f>VLOOKUP("營業外收入合計",$B$40:$L$500,2,0)</f>
        <v>N/A</v>
      </c>
      <c r="W6" s="11"/>
      <c r="X6" s="12"/>
      <c r="Y6" s="13"/>
    </row>
    <row r="7" spans="1:25">
      <c r="A7" s="7"/>
      <c r="B7" s="8"/>
      <c r="C7" s="9"/>
      <c r="D7" s="9"/>
      <c r="E7" s="8"/>
      <c r="F7" s="8"/>
      <c r="G7" s="8"/>
      <c r="H7" s="8"/>
      <c r="I7" s="8"/>
      <c r="J7" s="10"/>
      <c r="N7" s="143" t="s">
        <v>277</v>
      </c>
      <c r="O7" s="144">
        <f>VLOOKUP("稅前淨利",$B$40:$L$500,9,0)</f>
        <v>41</v>
      </c>
      <c r="P7" s="145">
        <f>VLOOKUP("稅前淨利",$B$40:$L$500,8,0)</f>
        <v>65</v>
      </c>
      <c r="Q7" s="145">
        <f>VLOOKUP("稅前淨利",$B$40:$L$500,7,0)</f>
        <v>43</v>
      </c>
      <c r="R7" s="145">
        <f>VLOOKUP("稅前淨利",$B$40:$L$500,6,0)</f>
        <v>55</v>
      </c>
      <c r="S7" s="145">
        <f>VLOOKUP("稅前淨利",$B$40:$L$500,5,0)</f>
        <v>59</v>
      </c>
      <c r="T7" s="145">
        <f>VLOOKUP("稅前淨利",$B$40:$L$500,4,0)</f>
        <v>69</v>
      </c>
      <c r="U7" s="145">
        <f>VLOOKUP("稅前淨利",$B$40:$L$500,3,0)</f>
        <v>44</v>
      </c>
      <c r="V7" s="146">
        <f>VLOOKUP("稅前淨利",$B$40:$L$500,2,0)</f>
        <v>64</v>
      </c>
      <c r="W7" s="11"/>
      <c r="X7" s="12"/>
      <c r="Y7" s="13"/>
    </row>
    <row r="8" spans="1:25">
      <c r="A8" s="7"/>
      <c r="B8" s="9"/>
      <c r="C8" s="9"/>
      <c r="D8" s="9"/>
      <c r="E8" s="9"/>
      <c r="F8" s="9"/>
      <c r="G8" s="9"/>
      <c r="H8" s="9"/>
      <c r="I8" s="9"/>
      <c r="J8" s="10"/>
      <c r="N8" s="143" t="s">
        <v>14</v>
      </c>
      <c r="O8" s="144">
        <f>VLOOKUP("本期稅後淨利",$B$40:$L$500,9,0)</f>
        <v>34</v>
      </c>
      <c r="P8" s="145">
        <f>VLOOKUP("本期稅後淨利",$B$40:$L$500,8,0)</f>
        <v>54</v>
      </c>
      <c r="Q8" s="145">
        <f>VLOOKUP("本期稅後淨利",$B$40:$L$500,7,0)</f>
        <v>36</v>
      </c>
      <c r="R8" s="145">
        <f>VLOOKUP("本期稅後淨利",$B$40:$L$500,6,0)</f>
        <v>44</v>
      </c>
      <c r="S8" s="145">
        <f>VLOOKUP("本期稅後淨利",$B$40:$L$500,5,0)</f>
        <v>49</v>
      </c>
      <c r="T8" s="145">
        <f>VLOOKUP("本期稅後淨利",$B$40:$L$500,4,0)</f>
        <v>58</v>
      </c>
      <c r="U8" s="145">
        <f>VLOOKUP("本期稅後淨利",$B$40:$L$500,3,0)</f>
        <v>36</v>
      </c>
      <c r="V8" s="146">
        <f>VLOOKUP("本期稅後淨利",$B$40:$L$500,2,0)</f>
        <v>50</v>
      </c>
      <c r="W8" s="11"/>
      <c r="X8" s="12"/>
      <c r="Y8" s="13"/>
    </row>
    <row r="9" spans="1:25">
      <c r="A9" s="7"/>
      <c r="B9" s="8"/>
      <c r="C9" s="9"/>
      <c r="D9" s="9"/>
      <c r="E9" s="8"/>
      <c r="F9" s="8"/>
      <c r="G9" s="8"/>
      <c r="H9" s="8"/>
      <c r="I9" s="8"/>
      <c r="J9" s="10"/>
      <c r="N9" s="143" t="s">
        <v>15</v>
      </c>
      <c r="O9" s="144">
        <f>VLOOKUP("每股盈餘 (元)",$B$40:$L$500,9,0)</f>
        <v>1.32</v>
      </c>
      <c r="P9" s="145">
        <f>VLOOKUP("每股盈餘 (元)",$B$40:$L$500,8,0)</f>
        <v>2.11</v>
      </c>
      <c r="Q9" s="145">
        <f>VLOOKUP("每股盈餘 (元)",$B$40:$L$500,7,0)</f>
        <v>1.39</v>
      </c>
      <c r="R9" s="145">
        <f>VLOOKUP("每股盈餘 (元)",$B$40:$L$500,6,0)</f>
        <v>1.7</v>
      </c>
      <c r="S9" s="145">
        <f>VLOOKUP("每股盈餘 (元)",$B$40:$L$500,5,0)</f>
        <v>1.89</v>
      </c>
      <c r="T9" s="145">
        <f>VLOOKUP("每股盈餘 (元)",$B$40:$L$500,4,0)</f>
        <v>2.2599999999999998</v>
      </c>
      <c r="U9" s="145">
        <f>VLOOKUP("每股盈餘 (元)",$B$40:$L$500,3,0)</f>
        <v>1.42</v>
      </c>
      <c r="V9" s="146">
        <f>VLOOKUP("每股盈餘 (元)",$B$40:$L$500,2,0)</f>
        <v>1.94</v>
      </c>
      <c r="W9" s="11">
        <f>MAX(R9:V9)</f>
        <v>2.2599999999999998</v>
      </c>
      <c r="X9" s="12"/>
      <c r="Y9" s="13"/>
    </row>
    <row r="10" spans="1:25">
      <c r="A10" s="7"/>
      <c r="B10" s="9"/>
      <c r="C10" s="9"/>
      <c r="D10" s="9"/>
      <c r="E10" s="9"/>
      <c r="F10" s="9"/>
      <c r="G10" s="9"/>
      <c r="H10" s="9"/>
      <c r="I10" s="9"/>
      <c r="J10" s="10"/>
      <c r="N10" s="143" t="s">
        <v>610</v>
      </c>
      <c r="O10" s="144">
        <f>VLOOKUP(" 應收帳款及票據",$B$40:$L$500,9,0)</f>
        <v>166</v>
      </c>
      <c r="P10" s="145">
        <f>VLOOKUP(" 應收帳款及票據",$B$40:$L$500,8,0)</f>
        <v>200</v>
      </c>
      <c r="Q10" s="145">
        <f>VLOOKUP(" 應收帳款及票據",$B$40:$L$500,7,0)</f>
        <v>164</v>
      </c>
      <c r="R10" s="145">
        <f>VLOOKUP(" 應收帳款及票據",$B$40:$L$500,6,0)</f>
        <v>179</v>
      </c>
      <c r="S10" s="145">
        <f>VLOOKUP(" 應收帳款及票據",$B$40:$L$500,5,0)</f>
        <v>172</v>
      </c>
      <c r="T10" s="145">
        <f>VLOOKUP(" 應收帳款及票據",$B$40:$L$500,4,0)</f>
        <v>207</v>
      </c>
      <c r="U10" s="145">
        <f>VLOOKUP(" 應收帳款及票據",$B$40:$L$500,3,0)</f>
        <v>189</v>
      </c>
      <c r="V10" s="146">
        <f>VLOOKUP(" 應收帳款及票據",$B$40:$L$500,2,0)</f>
        <v>205</v>
      </c>
      <c r="W10" s="11"/>
      <c r="X10" s="12"/>
      <c r="Y10" s="13"/>
    </row>
    <row r="11" spans="1:25">
      <c r="A11" s="7"/>
      <c r="B11" s="8"/>
      <c r="C11" s="9"/>
      <c r="D11" s="9"/>
      <c r="E11" s="8"/>
      <c r="F11" s="8"/>
      <c r="G11" s="8"/>
      <c r="H11" s="8"/>
      <c r="I11" s="8"/>
      <c r="J11" s="10"/>
      <c r="N11" s="143" t="s">
        <v>16</v>
      </c>
      <c r="O11" s="144">
        <f>VLOOKUP(" 存貨",$B$40:$L$500,9,0)</f>
        <v>42</v>
      </c>
      <c r="P11" s="145">
        <f>VLOOKUP(" 存貨",$B$40:$L$500,8,0)</f>
        <v>43</v>
      </c>
      <c r="Q11" s="145">
        <f>VLOOKUP(" 存貨",$B$40:$L$500,7,0)</f>
        <v>52</v>
      </c>
      <c r="R11" s="145">
        <f>VLOOKUP(" 存貨",$B$40:$L$500,6,0)</f>
        <v>58</v>
      </c>
      <c r="S11" s="145">
        <f>VLOOKUP(" 存貨",$B$40:$L$500,5,0)</f>
        <v>54</v>
      </c>
      <c r="T11" s="145">
        <f>VLOOKUP(" 存貨",$B$40:$L$500,4,0)</f>
        <v>49</v>
      </c>
      <c r="U11" s="145">
        <f>VLOOKUP(" 存貨",$B$40:$L$500,3,0)</f>
        <v>47</v>
      </c>
      <c r="V11" s="146">
        <f>VLOOKUP(" 存貨",$B$40:$L$500,2,0)</f>
        <v>50</v>
      </c>
      <c r="W11" s="11"/>
      <c r="X11" s="12"/>
      <c r="Y11" s="13"/>
    </row>
    <row r="12" spans="1:25">
      <c r="A12" s="7"/>
      <c r="B12" s="9"/>
      <c r="C12" s="9"/>
      <c r="D12" s="9"/>
      <c r="E12" s="9"/>
      <c r="F12" s="9"/>
      <c r="G12" s="9"/>
      <c r="H12" s="9"/>
      <c r="I12" s="9"/>
      <c r="J12" s="10"/>
      <c r="N12" s="143" t="s">
        <v>17</v>
      </c>
      <c r="O12" s="144">
        <f>VLOOKUP(" 應付帳款及票據",$B$40:$L$500,9,0)</f>
        <v>35</v>
      </c>
      <c r="P12" s="145">
        <f>VLOOKUP(" 應付帳款及票據",$B$40:$L$500,8,0)</f>
        <v>56</v>
      </c>
      <c r="Q12" s="145">
        <f>VLOOKUP(" 應付帳款及票據",$B$40:$L$500,7,0)</f>
        <v>48</v>
      </c>
      <c r="R12" s="145">
        <f>VLOOKUP(" 應付帳款及票據",$B$40:$L$500,6,0)</f>
        <v>42</v>
      </c>
      <c r="S12" s="145">
        <f>VLOOKUP(" 應付帳款及票據",$B$40:$L$500,5,0)</f>
        <v>50</v>
      </c>
      <c r="T12" s="145">
        <f>VLOOKUP(" 應付帳款及票據",$B$40:$L$500,4,0)</f>
        <v>68</v>
      </c>
      <c r="U12" s="145">
        <f>VLOOKUP(" 應付帳款及票據",$B$40:$L$500,3,0)</f>
        <v>55</v>
      </c>
      <c r="V12" s="146">
        <f>VLOOKUP(" 應付帳款及票據",$B$40:$L$500,2,0)</f>
        <v>56</v>
      </c>
      <c r="W12" s="11"/>
      <c r="X12" s="12"/>
      <c r="Y12" s="13"/>
    </row>
    <row r="13" spans="1:25">
      <c r="A13" s="7"/>
      <c r="B13" s="9"/>
      <c r="C13" s="9"/>
      <c r="D13" s="9"/>
      <c r="E13" s="9"/>
      <c r="F13" s="9"/>
      <c r="G13" s="9"/>
      <c r="H13" s="9"/>
      <c r="I13" s="9"/>
      <c r="J13" s="10"/>
      <c r="N13" s="143" t="s">
        <v>18</v>
      </c>
      <c r="O13" s="144">
        <f>VLOOKUP("負債總額",$B$40:$L$500,9,0)</f>
        <v>126</v>
      </c>
      <c r="P13" s="145">
        <f>VLOOKUP("負債總額",$B$40:$L$500,8,0)</f>
        <v>181</v>
      </c>
      <c r="Q13" s="145">
        <f>VLOOKUP("負債總額",$B$40:$L$500,7,0)</f>
        <v>176</v>
      </c>
      <c r="R13" s="145">
        <f>VLOOKUP("負債總額",$B$40:$L$500,6,0)</f>
        <v>282</v>
      </c>
      <c r="S13" s="145">
        <f>VLOOKUP("負債總額",$B$40:$L$500,5,0)</f>
        <v>145</v>
      </c>
      <c r="T13" s="145">
        <f>VLOOKUP("負債總額",$B$40:$L$500,4,0)</f>
        <v>193</v>
      </c>
      <c r="U13" s="145">
        <f>VLOOKUP("負債總額",$B$40:$L$500,3,0)</f>
        <v>179</v>
      </c>
      <c r="V13" s="146">
        <f>VLOOKUP("負債總額",$B$40:$L$500,2,0)</f>
        <v>324</v>
      </c>
      <c r="W13" s="11"/>
      <c r="X13" s="12"/>
      <c r="Y13" s="13"/>
    </row>
    <row r="14" spans="1:25">
      <c r="A14" s="7"/>
      <c r="B14" s="9"/>
      <c r="C14" s="9"/>
      <c r="D14" s="9"/>
      <c r="E14" s="9"/>
      <c r="F14" s="9"/>
      <c r="G14" s="9"/>
      <c r="H14" s="9"/>
      <c r="I14" s="9"/>
      <c r="J14" s="10"/>
      <c r="N14" s="143" t="s">
        <v>19</v>
      </c>
      <c r="O14" s="144">
        <f>VLOOKUP("資產總額",$B$40:$L$500,9,0)</f>
        <v>733</v>
      </c>
      <c r="P14" s="145">
        <f>VLOOKUP("資產總額",$B$40:$L$500,8,0)</f>
        <v>843</v>
      </c>
      <c r="Q14" s="145">
        <f>VLOOKUP("資產總額",$B$40:$L$500,7,0)</f>
        <v>873</v>
      </c>
      <c r="R14" s="147">
        <f>VLOOKUP("資產總額",$B$40:$L$500,6,0)</f>
        <v>894</v>
      </c>
      <c r="S14" s="145">
        <f>VLOOKUP("資產總額",$B$40:$L$500,5,0)</f>
        <v>807</v>
      </c>
      <c r="T14" s="145">
        <f>VLOOKUP("資產總額",$B$40:$L$500,4,0)</f>
        <v>914</v>
      </c>
      <c r="U14" s="145">
        <f>VLOOKUP("資產總額",$B$40:$L$500,3,0)</f>
        <v>936</v>
      </c>
      <c r="V14" s="146">
        <f>VLOOKUP("資產總額",$B$40:$L$500,2,0)</f>
        <v>989</v>
      </c>
      <c r="W14" s="11"/>
      <c r="X14" s="12"/>
      <c r="Y14" s="13"/>
    </row>
    <row r="15" spans="1:25">
      <c r="A15" s="7"/>
      <c r="B15" s="8"/>
      <c r="C15" s="9"/>
      <c r="D15" s="9"/>
      <c r="E15" s="8"/>
      <c r="F15" s="8"/>
      <c r="G15" s="8"/>
      <c r="H15" s="8"/>
      <c r="I15" s="8"/>
      <c r="J15" s="10"/>
      <c r="N15" s="143" t="s">
        <v>20</v>
      </c>
      <c r="O15" s="144">
        <f>VLOOKUP("來自營運之現金流量",$B$40:$L$500,9,0)</f>
        <v>9</v>
      </c>
      <c r="P15" s="145">
        <f>VLOOKUP("來自營運之現金流量",$B$40:$L$500,8,0)</f>
        <v>74</v>
      </c>
      <c r="Q15" s="145">
        <f>VLOOKUP("來自營運之現金流量",$B$40:$L$500,7,0)</f>
        <v>53</v>
      </c>
      <c r="R15" s="145">
        <f>VLOOKUP("來自營運之現金流量",$B$40:$L$500,6,0)</f>
        <v>9</v>
      </c>
      <c r="S15" s="145">
        <f>VLOOKUP("來自營運之現金流量",$B$40:$L$500,5,0)</f>
        <v>51</v>
      </c>
      <c r="T15" s="145">
        <f>VLOOKUP("來自營運之現金流量",$B$40:$L$500,4,0)</f>
        <v>70</v>
      </c>
      <c r="U15" s="145">
        <f>VLOOKUP("來自營運之現金流量",$B$40:$L$500,3,0)</f>
        <v>43</v>
      </c>
      <c r="V15" s="146">
        <f>VLOOKUP("來自營運之現金流量",$B$40:$L$500,2,0)</f>
        <v>31</v>
      </c>
      <c r="W15" s="14">
        <f>AVERAGE(R15:V15)</f>
        <v>40.799999999999997</v>
      </c>
      <c r="X15" s="15">
        <f>AVERAGE(U15:V15)</f>
        <v>37</v>
      </c>
      <c r="Y15" s="13"/>
    </row>
    <row r="16" spans="1:25">
      <c r="A16" s="7"/>
      <c r="B16" s="9"/>
      <c r="C16" s="9"/>
      <c r="D16" s="9"/>
      <c r="E16" s="9"/>
      <c r="F16" s="9"/>
      <c r="G16" s="9"/>
      <c r="H16" s="9"/>
      <c r="I16" s="9"/>
      <c r="J16" s="10"/>
      <c r="N16" s="143" t="s">
        <v>21</v>
      </c>
      <c r="O16" s="144">
        <v>4</v>
      </c>
      <c r="P16" s="144">
        <v>2</v>
      </c>
      <c r="Q16" s="144">
        <v>3</v>
      </c>
      <c r="R16" s="144">
        <v>1</v>
      </c>
      <c r="S16" s="144">
        <v>0</v>
      </c>
      <c r="T16" s="144">
        <v>2</v>
      </c>
      <c r="U16" s="144">
        <v>3</v>
      </c>
      <c r="V16" s="148">
        <v>0</v>
      </c>
      <c r="W16" s="14">
        <f>MAX(O16:V16)</f>
        <v>4</v>
      </c>
      <c r="X16" s="15">
        <f>AVERAGE(U16:V16)</f>
        <v>1.5</v>
      </c>
      <c r="Y16" s="13"/>
    </row>
    <row r="17" spans="1:25">
      <c r="A17" s="7"/>
      <c r="B17" s="8"/>
      <c r="C17" s="9"/>
      <c r="D17" s="9"/>
      <c r="E17" s="8"/>
      <c r="F17" s="8"/>
      <c r="G17" s="8"/>
      <c r="H17" s="8"/>
      <c r="I17" s="8"/>
      <c r="J17" s="10"/>
      <c r="N17" s="143" t="s">
        <v>22</v>
      </c>
      <c r="O17" s="144">
        <v>0</v>
      </c>
      <c r="P17" s="144">
        <v>0</v>
      </c>
      <c r="Q17" s="144">
        <v>0</v>
      </c>
      <c r="R17" s="144">
        <v>0</v>
      </c>
      <c r="S17" s="144">
        <v>0</v>
      </c>
      <c r="T17" s="144">
        <v>0</v>
      </c>
      <c r="U17" s="144">
        <v>0</v>
      </c>
      <c r="V17" s="148">
        <v>0</v>
      </c>
      <c r="W17" s="11"/>
      <c r="X17" s="12"/>
      <c r="Y17" s="13"/>
    </row>
    <row r="18" spans="1:25">
      <c r="A18" s="7"/>
      <c r="B18" s="9"/>
      <c r="C18" s="9"/>
      <c r="D18" s="9"/>
      <c r="E18" s="9"/>
      <c r="F18" s="9"/>
      <c r="G18" s="9"/>
      <c r="H18" s="9"/>
      <c r="I18" s="9"/>
      <c r="J18" s="10"/>
      <c r="N18" s="143" t="s">
        <v>23</v>
      </c>
      <c r="O18" s="144">
        <f>VLOOKUP(" 折舊",$B$40:$L$500,9,0)</f>
        <v>2</v>
      </c>
      <c r="P18" s="145">
        <f>VLOOKUP(" 折舊",$B$40:$L$500,8,0)</f>
        <v>1</v>
      </c>
      <c r="Q18" s="145">
        <f>VLOOKUP(" 折舊",$B$40:$L$500,7,0)</f>
        <v>1</v>
      </c>
      <c r="R18" s="145">
        <f>VLOOKUP(" 折舊",$B$40:$L$500,6,0)</f>
        <v>1</v>
      </c>
      <c r="S18" s="145">
        <f>VLOOKUP(" 折舊",$B$40:$L$500,5,0)</f>
        <v>1</v>
      </c>
      <c r="T18" s="145">
        <f>VLOOKUP(" 折舊",$B$40:$L$500,4,0)</f>
        <v>1</v>
      </c>
      <c r="U18" s="145">
        <f>VLOOKUP(" 折舊",$B$40:$L$500,3,0)</f>
        <v>2</v>
      </c>
      <c r="V18" s="146">
        <f>VLOOKUP(" 折舊",$B$40:$L$500,2,0)</f>
        <v>1</v>
      </c>
      <c r="W18" s="11"/>
      <c r="X18" s="12"/>
      <c r="Y18" s="13"/>
    </row>
    <row r="19" spans="1:25">
      <c r="A19" s="7"/>
      <c r="B19" s="8"/>
      <c r="C19" s="9"/>
      <c r="D19" s="9"/>
      <c r="E19" s="8"/>
      <c r="F19" s="8"/>
      <c r="G19" s="8"/>
      <c r="H19" s="8"/>
      <c r="I19" s="8"/>
      <c r="J19" s="10"/>
      <c r="N19" s="143" t="s">
        <v>24</v>
      </c>
      <c r="O19" s="144">
        <f>VLOOKUP(" 攤提",$B$40:$L$500,9,0)</f>
        <v>0</v>
      </c>
      <c r="P19" s="145">
        <f>VLOOKUP(" 攤提",$B$40:$L$500,8,0)</f>
        <v>0</v>
      </c>
      <c r="Q19" s="145">
        <f>VLOOKUP(" 攤提",$B$40:$L$500,7,0)</f>
        <v>0</v>
      </c>
      <c r="R19" s="145">
        <f>VLOOKUP(" 攤提",$B$40:$L$500,6,0)</f>
        <v>0</v>
      </c>
      <c r="S19" s="145">
        <f>VLOOKUP(" 攤提",$B$40:$L$500,5,0)</f>
        <v>0</v>
      </c>
      <c r="T19" s="145">
        <f>VLOOKUP(" 攤提",$B$40:$L$500,4,0)</f>
        <v>0</v>
      </c>
      <c r="U19" s="145">
        <f>VLOOKUP(" 攤提",$B$40:$L$500,3,0)</f>
        <v>0</v>
      </c>
      <c r="V19" s="146">
        <f>VLOOKUP(" 攤提",$B$40:$L$500,2,0)</f>
        <v>0</v>
      </c>
      <c r="W19" s="11"/>
      <c r="X19" s="12"/>
      <c r="Y19" s="13"/>
    </row>
    <row r="20" spans="1:25" ht="17.25" thickBot="1">
      <c r="A20" s="7"/>
      <c r="B20" s="9"/>
      <c r="C20" s="9"/>
      <c r="D20" s="9"/>
      <c r="E20" s="9"/>
      <c r="F20" s="9"/>
      <c r="G20" s="9"/>
      <c r="H20" s="9"/>
      <c r="I20" s="9"/>
      <c r="J20" s="10"/>
      <c r="N20" s="149" t="s">
        <v>25</v>
      </c>
      <c r="O20" s="150">
        <f>VLOOKUP("股東權益總額",$B$40:$L$500,9,0)</f>
        <v>607</v>
      </c>
      <c r="P20" s="151">
        <f>VLOOKUP("股東權益總額",$B$40:$L$500,8,0)</f>
        <v>662</v>
      </c>
      <c r="Q20" s="151">
        <f>VLOOKUP("股東權益總額",$B$40:$L$500,7,0)</f>
        <v>697</v>
      </c>
      <c r="R20" s="151">
        <f>VLOOKUP("股東權益總額",$B$40:$L$500,6,0)</f>
        <v>612</v>
      </c>
      <c r="S20" s="151">
        <f>VLOOKUP("股東權益總額",$B$40:$L$500,5,0)</f>
        <v>662</v>
      </c>
      <c r="T20" s="151">
        <f>VLOOKUP("股東權益總額",$B$40:$L$500,4,0)</f>
        <v>721</v>
      </c>
      <c r="U20" s="151">
        <f>VLOOKUP("股東權益總額",$B$40:$L$500,3,0)</f>
        <v>757</v>
      </c>
      <c r="V20" s="152">
        <f>VLOOKUP("股東權益總額",$B$40:$L$500,2,0)</f>
        <v>665</v>
      </c>
      <c r="W20" s="11"/>
      <c r="X20" s="12"/>
      <c r="Y20" s="13"/>
    </row>
    <row r="21" spans="1:25">
      <c r="A21" s="7"/>
      <c r="B21" s="8"/>
      <c r="C21" s="9"/>
      <c r="D21" s="9"/>
      <c r="E21" s="8"/>
      <c r="F21" s="8"/>
      <c r="G21" s="8"/>
      <c r="H21" s="8"/>
      <c r="I21" s="8"/>
      <c r="J21" s="10"/>
      <c r="N21" s="139" t="s">
        <v>26</v>
      </c>
      <c r="O21" s="153">
        <f t="shared" ref="O21:V21" si="0">IF(ISNUMBER((O3-O4)/O3),(O3-O4)/O3,0)</f>
        <v>0.57594936708860756</v>
      </c>
      <c r="P21" s="154">
        <f t="shared" si="0"/>
        <v>0.60465116279069764</v>
      </c>
      <c r="Q21" s="154">
        <f t="shared" si="0"/>
        <v>0.59375</v>
      </c>
      <c r="R21" s="154">
        <f t="shared" si="0"/>
        <v>0.609375</v>
      </c>
      <c r="S21" s="154">
        <f t="shared" si="0"/>
        <v>0.58252427184466016</v>
      </c>
      <c r="T21" s="154">
        <f t="shared" si="0"/>
        <v>0.58441558441558439</v>
      </c>
      <c r="U21" s="154">
        <f t="shared" si="0"/>
        <v>0.57608695652173914</v>
      </c>
      <c r="V21" s="155">
        <f t="shared" si="0"/>
        <v>0.59808612440191389</v>
      </c>
      <c r="W21" s="202">
        <f>MIN(O21:V22)</f>
        <v>0.22282608695652173</v>
      </c>
      <c r="X21" s="204">
        <f>MAX(O21:V22)</f>
        <v>0.609375</v>
      </c>
      <c r="Y21" s="2"/>
    </row>
    <row r="22" spans="1:25">
      <c r="A22" s="7"/>
      <c r="B22" s="9"/>
      <c r="C22" s="9"/>
      <c r="D22" s="9"/>
      <c r="E22" s="9"/>
      <c r="F22" s="9"/>
      <c r="G22" s="9"/>
      <c r="H22" s="9"/>
      <c r="I22" s="9"/>
      <c r="J22" s="10"/>
      <c r="N22" s="143" t="s">
        <v>27</v>
      </c>
      <c r="O22" s="156">
        <f t="shared" ref="O22:U22" si="1">O5/O3</f>
        <v>0.24050632911392406</v>
      </c>
      <c r="P22" s="157">
        <f t="shared" si="1"/>
        <v>0.27906976744186046</v>
      </c>
      <c r="Q22" s="157">
        <f t="shared" si="1"/>
        <v>0.24374999999999999</v>
      </c>
      <c r="R22" s="157">
        <f>R5/R3</f>
        <v>0.27604166666666669</v>
      </c>
      <c r="S22" s="157">
        <f t="shared" si="1"/>
        <v>0.27669902912621358</v>
      </c>
      <c r="T22" s="157">
        <f t="shared" si="1"/>
        <v>0.2943722943722944</v>
      </c>
      <c r="U22" s="157">
        <f t="shared" si="1"/>
        <v>0.22282608695652173</v>
      </c>
      <c r="V22" s="158">
        <f>V5/V3</f>
        <v>0.28229665071770332</v>
      </c>
      <c r="W22" s="203"/>
      <c r="X22" s="205"/>
      <c r="Y22" s="13"/>
    </row>
    <row r="23" spans="1:25">
      <c r="A23" s="7"/>
      <c r="B23" s="8"/>
      <c r="C23" s="9"/>
      <c r="D23" s="9"/>
      <c r="E23" s="8"/>
      <c r="F23" s="8"/>
      <c r="G23" s="8"/>
      <c r="H23" s="8"/>
      <c r="I23" s="8"/>
      <c r="J23" s="10"/>
      <c r="N23" s="143" t="s">
        <v>28</v>
      </c>
      <c r="O23" s="156">
        <f t="shared" ref="O23:V23" si="2">O13/O14</f>
        <v>0.17189631650750342</v>
      </c>
      <c r="P23" s="157">
        <f t="shared" si="2"/>
        <v>0.21470937129300119</v>
      </c>
      <c r="Q23" s="157">
        <f t="shared" si="2"/>
        <v>0.2016036655211913</v>
      </c>
      <c r="R23" s="157">
        <f t="shared" si="2"/>
        <v>0.31543624161073824</v>
      </c>
      <c r="S23" s="157">
        <f t="shared" si="2"/>
        <v>0.17967781908302355</v>
      </c>
      <c r="T23" s="157">
        <f t="shared" si="2"/>
        <v>0.21115973741794311</v>
      </c>
      <c r="U23" s="157">
        <f t="shared" si="2"/>
        <v>0.19123931623931623</v>
      </c>
      <c r="V23" s="158">
        <f t="shared" si="2"/>
        <v>0.3276036400404449</v>
      </c>
      <c r="W23" s="122">
        <f>MIN(O23:V23)</f>
        <v>0.17189631650750342</v>
      </c>
      <c r="X23" s="123">
        <f>MAX(O23:V23)</f>
        <v>0.3276036400404449</v>
      </c>
      <c r="Y23" s="13"/>
    </row>
    <row r="24" spans="1:25">
      <c r="A24" s="7"/>
      <c r="B24" s="9"/>
      <c r="C24" s="9"/>
      <c r="D24" s="9"/>
      <c r="E24" s="9"/>
      <c r="F24" s="9"/>
      <c r="G24" s="9"/>
      <c r="H24" s="9"/>
      <c r="I24" s="9"/>
      <c r="J24" s="10"/>
      <c r="N24" s="143" t="s">
        <v>29</v>
      </c>
      <c r="O24" s="159">
        <f>P24</f>
        <v>48.845588235294116</v>
      </c>
      <c r="P24" s="160">
        <f t="shared" ref="P24:V24" si="3">IF(ISNUMBER(365/(P4*4/((O12+P12)/2))),365/(P4*4/((O12+P12)/2)),0)</f>
        <v>48.845588235294116</v>
      </c>
      <c r="Q24" s="160">
        <f t="shared" si="3"/>
        <v>73</v>
      </c>
      <c r="R24" s="160">
        <f t="shared" si="3"/>
        <v>54.75</v>
      </c>
      <c r="S24" s="160">
        <f t="shared" si="3"/>
        <v>48.808139534883722</v>
      </c>
      <c r="T24" s="160">
        <f t="shared" si="3"/>
        <v>56.080729166666664</v>
      </c>
      <c r="U24" s="160">
        <f t="shared" si="3"/>
        <v>71.947115384615387</v>
      </c>
      <c r="V24" s="161">
        <f t="shared" si="3"/>
        <v>60.290178571428569</v>
      </c>
      <c r="W24" s="64">
        <f>MIN(O24:V26)</f>
        <v>45.625</v>
      </c>
      <c r="X24" s="16">
        <f>MAX(O24:V26)</f>
        <v>103.796875</v>
      </c>
      <c r="Y24" s="13"/>
    </row>
    <row r="25" spans="1:25">
      <c r="A25" s="7"/>
      <c r="B25" s="9"/>
      <c r="C25" s="9"/>
      <c r="D25" s="9"/>
      <c r="E25" s="9"/>
      <c r="F25" s="9"/>
      <c r="G25" s="9"/>
      <c r="H25" s="9"/>
      <c r="I25" s="9"/>
      <c r="J25" s="10"/>
      <c r="N25" s="143" t="s">
        <v>30</v>
      </c>
      <c r="O25" s="162">
        <f>P25</f>
        <v>77.668604651162795</v>
      </c>
      <c r="P25" s="163">
        <f t="shared" ref="P25:V26" si="4">IF(ISNUMBER(365/(P3*4/((O10+P10)/2))),365/(P3*4/((O10+P10)/2)),0)</f>
        <v>77.668604651162795</v>
      </c>
      <c r="Q25" s="163">
        <f t="shared" si="4"/>
        <v>103.796875</v>
      </c>
      <c r="R25" s="163">
        <f t="shared" si="4"/>
        <v>81.507161458333329</v>
      </c>
      <c r="S25" s="163">
        <f t="shared" si="4"/>
        <v>77.739684466019426</v>
      </c>
      <c r="T25" s="163">
        <f t="shared" si="4"/>
        <v>74.856601731601728</v>
      </c>
      <c r="U25" s="163">
        <f t="shared" si="4"/>
        <v>98.192934782608702</v>
      </c>
      <c r="V25" s="164">
        <f t="shared" si="4"/>
        <v>86.010765550239242</v>
      </c>
      <c r="W25" s="64"/>
      <c r="X25" s="16"/>
      <c r="Y25" s="13"/>
    </row>
    <row r="26" spans="1:25">
      <c r="A26" s="7"/>
      <c r="B26" s="9"/>
      <c r="C26" s="9"/>
      <c r="D26" s="9"/>
      <c r="E26" s="9"/>
      <c r="F26" s="9"/>
      <c r="G26" s="9"/>
      <c r="H26" s="9"/>
      <c r="I26" s="9"/>
      <c r="J26" s="10"/>
      <c r="N26" s="143" t="s">
        <v>31</v>
      </c>
      <c r="O26" s="159">
        <f>P26</f>
        <v>45.625</v>
      </c>
      <c r="P26" s="160">
        <f t="shared" si="4"/>
        <v>45.625</v>
      </c>
      <c r="Q26" s="160">
        <f t="shared" si="4"/>
        <v>66.682692307692307</v>
      </c>
      <c r="R26" s="160">
        <f t="shared" si="4"/>
        <v>66.916666666666671</v>
      </c>
      <c r="S26" s="160">
        <f t="shared" si="4"/>
        <v>59.418604651162788</v>
      </c>
      <c r="T26" s="160">
        <f t="shared" si="4"/>
        <v>48.951822916666664</v>
      </c>
      <c r="U26" s="160">
        <f t="shared" si="4"/>
        <v>56.153846153846153</v>
      </c>
      <c r="V26" s="161">
        <f t="shared" si="4"/>
        <v>52.686011904761905</v>
      </c>
      <c r="W26" s="64"/>
      <c r="X26" s="16"/>
      <c r="Y26" s="13"/>
    </row>
    <row r="27" spans="1:25">
      <c r="A27" s="7"/>
      <c r="B27" s="8"/>
      <c r="C27" s="9"/>
      <c r="D27" s="9"/>
      <c r="E27" s="8"/>
      <c r="F27" s="8"/>
      <c r="G27" s="8"/>
      <c r="H27" s="8"/>
      <c r="I27" s="8"/>
      <c r="J27" s="10"/>
      <c r="N27" s="143" t="s">
        <v>32</v>
      </c>
      <c r="O27" s="165">
        <f>O25+O26</f>
        <v>123.29360465116279</v>
      </c>
      <c r="P27" s="166">
        <f t="shared" ref="P27:V27" si="5">P25+P26</f>
        <v>123.29360465116279</v>
      </c>
      <c r="Q27" s="166">
        <f t="shared" si="5"/>
        <v>170.47956730769232</v>
      </c>
      <c r="R27" s="166">
        <f t="shared" si="5"/>
        <v>148.423828125</v>
      </c>
      <c r="S27" s="166">
        <f t="shared" si="5"/>
        <v>137.15828911718222</v>
      </c>
      <c r="T27" s="166">
        <f t="shared" si="5"/>
        <v>123.80842464826839</v>
      </c>
      <c r="U27" s="166">
        <f t="shared" si="5"/>
        <v>154.34678093645485</v>
      </c>
      <c r="V27" s="167">
        <f t="shared" si="5"/>
        <v>138.69677745500115</v>
      </c>
      <c r="W27" s="65">
        <f>MIN(O27:V27)</f>
        <v>123.29360465116279</v>
      </c>
      <c r="X27" s="123"/>
      <c r="Y27" s="13"/>
    </row>
    <row r="28" spans="1:25">
      <c r="A28" s="7"/>
      <c r="B28" s="9"/>
      <c r="C28" s="9"/>
      <c r="D28" s="9"/>
      <c r="E28" s="9"/>
      <c r="F28" s="9"/>
      <c r="G28" s="9"/>
      <c r="H28" s="9"/>
      <c r="I28" s="9"/>
      <c r="J28" s="10"/>
      <c r="N28" s="143" t="s">
        <v>33</v>
      </c>
      <c r="O28" s="144">
        <f t="shared" ref="O28:V28" si="6">O18+O19</f>
        <v>2</v>
      </c>
      <c r="P28" s="145">
        <f t="shared" si="6"/>
        <v>1</v>
      </c>
      <c r="Q28" s="145">
        <f t="shared" si="6"/>
        <v>1</v>
      </c>
      <c r="R28" s="145">
        <f t="shared" si="6"/>
        <v>1</v>
      </c>
      <c r="S28" s="145">
        <f t="shared" si="6"/>
        <v>1</v>
      </c>
      <c r="T28" s="145">
        <f t="shared" si="6"/>
        <v>1</v>
      </c>
      <c r="U28" s="145">
        <f t="shared" si="6"/>
        <v>2</v>
      </c>
      <c r="V28" s="146">
        <f t="shared" si="6"/>
        <v>1</v>
      </c>
      <c r="W28" s="11"/>
      <c r="X28" s="12"/>
      <c r="Y28" s="13"/>
    </row>
    <row r="29" spans="1:25">
      <c r="A29" s="7"/>
      <c r="B29" s="8"/>
      <c r="C29" s="9"/>
      <c r="D29" s="9"/>
      <c r="E29" s="8"/>
      <c r="F29" s="8"/>
      <c r="G29" s="8"/>
      <c r="H29" s="8"/>
      <c r="I29" s="8"/>
      <c r="J29" s="10"/>
      <c r="N29" s="143" t="s">
        <v>34</v>
      </c>
      <c r="O29" s="156">
        <f>P29</f>
        <v>4.6948356807511738E-3</v>
      </c>
      <c r="P29" s="157">
        <f>P28/(IF(P3-O3&gt;0,P3,O4)-P16)</f>
        <v>4.6948356807511738E-3</v>
      </c>
      <c r="Q29" s="157">
        <f t="shared" ref="Q29:R29" si="7">Q28/(IF(Q3-P3&gt;0,Q3,P4)-Q16)</f>
        <v>1.2195121951219513E-2</v>
      </c>
      <c r="R29" s="157">
        <f t="shared" si="7"/>
        <v>5.235602094240838E-3</v>
      </c>
      <c r="S29" s="157">
        <f>S28/(IF(P3-O3&gt;0,S3,R4)-S16)</f>
        <v>4.8543689320388345E-3</v>
      </c>
      <c r="T29" s="157">
        <f t="shared" ref="T29:U29" si="8">T28/(IF(Q3-P3&gt;0,T3,S4)-T16)</f>
        <v>1.1904761904761904E-2</v>
      </c>
      <c r="U29" s="157">
        <f t="shared" si="8"/>
        <v>1.1049723756906077E-2</v>
      </c>
      <c r="V29" s="158">
        <f>V28/(IF(S3-R3&gt;0,V3,U4)-V16)</f>
        <v>4.7846889952153108E-3</v>
      </c>
      <c r="W29" s="11"/>
      <c r="X29" s="12"/>
      <c r="Y29" s="13"/>
    </row>
    <row r="30" spans="1:25">
      <c r="A30" s="7"/>
      <c r="B30" s="9"/>
      <c r="C30" s="9"/>
      <c r="D30" s="9"/>
      <c r="E30" s="9"/>
      <c r="F30" s="9"/>
      <c r="G30" s="9"/>
      <c r="H30" s="9"/>
      <c r="I30" s="9"/>
      <c r="J30" s="10"/>
      <c r="N30" s="168" t="s">
        <v>613</v>
      </c>
      <c r="O30" s="169">
        <f t="shared" ref="O30:V30" si="9">O28/O4</f>
        <v>2.9850746268656716E-2</v>
      </c>
      <c r="P30" s="170">
        <f t="shared" si="9"/>
        <v>1.1764705882352941E-2</v>
      </c>
      <c r="Q30" s="170">
        <f t="shared" si="9"/>
        <v>1.5384615384615385E-2</v>
      </c>
      <c r="R30" s="170">
        <f t="shared" si="9"/>
        <v>1.3333333333333334E-2</v>
      </c>
      <c r="S30" s="170">
        <f t="shared" si="9"/>
        <v>1.1627906976744186E-2</v>
      </c>
      <c r="T30" s="170">
        <f t="shared" si="9"/>
        <v>1.0416666666666666E-2</v>
      </c>
      <c r="U30" s="170">
        <f t="shared" si="9"/>
        <v>2.564102564102564E-2</v>
      </c>
      <c r="V30" s="171">
        <f t="shared" si="9"/>
        <v>1.1904761904761904E-2</v>
      </c>
      <c r="W30" s="195">
        <f>AVERAGE(O31:V31)</f>
        <v>0.78559373941147337</v>
      </c>
      <c r="X30" s="196"/>
      <c r="Y30" s="13"/>
    </row>
    <row r="31" spans="1:25">
      <c r="A31" s="7"/>
      <c r="B31" s="8"/>
      <c r="C31" s="9"/>
      <c r="D31" s="9"/>
      <c r="E31" s="8"/>
      <c r="F31" s="8"/>
      <c r="G31" s="8"/>
      <c r="H31" s="8"/>
      <c r="I31" s="8"/>
      <c r="J31" s="10"/>
      <c r="N31" s="193" t="s">
        <v>35</v>
      </c>
      <c r="O31" s="172">
        <f t="shared" ref="O31:V31" si="10">IF(O8&gt;0,IF(O15&gt;O8,IF(ISNUMBER(O15/O8),O15/O8,0),0),0)</f>
        <v>0</v>
      </c>
      <c r="P31" s="173">
        <f t="shared" si="10"/>
        <v>1.3703703703703705</v>
      </c>
      <c r="Q31" s="173">
        <f t="shared" si="10"/>
        <v>1.4722222222222223</v>
      </c>
      <c r="R31" s="173">
        <f t="shared" si="10"/>
        <v>0</v>
      </c>
      <c r="S31" s="173">
        <f t="shared" si="10"/>
        <v>1.0408163265306123</v>
      </c>
      <c r="T31" s="173">
        <f t="shared" si="10"/>
        <v>1.2068965517241379</v>
      </c>
      <c r="U31" s="173">
        <f t="shared" si="10"/>
        <v>1.1944444444444444</v>
      </c>
      <c r="V31" s="174">
        <f t="shared" si="10"/>
        <v>0</v>
      </c>
      <c r="W31" s="195"/>
      <c r="X31" s="196"/>
      <c r="Y31" s="13"/>
    </row>
    <row r="32" spans="1:25">
      <c r="A32" s="7"/>
      <c r="B32" s="9"/>
      <c r="C32" s="9"/>
      <c r="D32" s="9"/>
      <c r="E32" s="9"/>
      <c r="F32" s="9"/>
      <c r="G32" s="9"/>
      <c r="H32" s="9"/>
      <c r="I32" s="9"/>
      <c r="J32" s="10"/>
      <c r="N32" s="194"/>
      <c r="O32" s="175">
        <f>$W$30</f>
        <v>0.78559373941147337</v>
      </c>
      <c r="P32" s="176">
        <f t="shared" ref="P32:V32" si="11">$W$30</f>
        <v>0.78559373941147337</v>
      </c>
      <c r="Q32" s="176">
        <f t="shared" si="11"/>
        <v>0.78559373941147337</v>
      </c>
      <c r="R32" s="176">
        <f t="shared" si="11"/>
        <v>0.78559373941147337</v>
      </c>
      <c r="S32" s="176">
        <f t="shared" si="11"/>
        <v>0.78559373941147337</v>
      </c>
      <c r="T32" s="176">
        <f t="shared" si="11"/>
        <v>0.78559373941147337</v>
      </c>
      <c r="U32" s="176">
        <f t="shared" si="11"/>
        <v>0.78559373941147337</v>
      </c>
      <c r="V32" s="177">
        <f t="shared" si="11"/>
        <v>0.78559373941147337</v>
      </c>
      <c r="W32" s="122"/>
      <c r="X32" s="123"/>
      <c r="Y32" s="13"/>
    </row>
    <row r="33" spans="1:25">
      <c r="A33" s="7"/>
      <c r="B33" s="8"/>
      <c r="C33" s="9"/>
      <c r="D33" s="9"/>
      <c r="E33" s="8"/>
      <c r="F33" s="8"/>
      <c r="G33" s="8"/>
      <c r="H33" s="8"/>
      <c r="I33" s="8"/>
      <c r="J33" s="10"/>
      <c r="N33" s="168" t="s">
        <v>36</v>
      </c>
      <c r="O33" s="178">
        <f t="shared" ref="O33:V33" si="12">IF(O6&gt;0,IF((O7-O6)&gt;0,O5,0),MAX(O5,O7))</f>
        <v>38</v>
      </c>
      <c r="P33" s="179">
        <f t="shared" si="12"/>
        <v>60</v>
      </c>
      <c r="Q33" s="179">
        <f t="shared" si="12"/>
        <v>39</v>
      </c>
      <c r="R33" s="179">
        <f t="shared" si="12"/>
        <v>53</v>
      </c>
      <c r="S33" s="179">
        <f t="shared" si="12"/>
        <v>57</v>
      </c>
      <c r="T33" s="179">
        <f t="shared" si="12"/>
        <v>68</v>
      </c>
      <c r="U33" s="179">
        <f t="shared" si="12"/>
        <v>41</v>
      </c>
      <c r="V33" s="180" t="e">
        <f t="shared" si="12"/>
        <v>#VALUE!</v>
      </c>
      <c r="W33" s="122"/>
      <c r="X33" s="123"/>
      <c r="Y33" s="13"/>
    </row>
    <row r="34" spans="1:25">
      <c r="A34" s="7"/>
      <c r="B34" s="9"/>
      <c r="C34" s="9"/>
      <c r="D34" s="9"/>
      <c r="E34" s="9"/>
      <c r="F34" s="9"/>
      <c r="G34" s="9"/>
      <c r="H34" s="9"/>
      <c r="I34" s="9"/>
      <c r="J34" s="10"/>
      <c r="N34" s="168" t="s">
        <v>37</v>
      </c>
      <c r="O34" s="156">
        <f t="shared" ref="O34:U34" si="13">O33/O7</f>
        <v>0.92682926829268297</v>
      </c>
      <c r="P34" s="157">
        <f t="shared" si="13"/>
        <v>0.92307692307692313</v>
      </c>
      <c r="Q34" s="157">
        <f t="shared" si="13"/>
        <v>0.90697674418604646</v>
      </c>
      <c r="R34" s="157">
        <f t="shared" si="13"/>
        <v>0.96363636363636362</v>
      </c>
      <c r="S34" s="157">
        <f t="shared" si="13"/>
        <v>0.96610169491525422</v>
      </c>
      <c r="T34" s="157">
        <f t="shared" si="13"/>
        <v>0.98550724637681164</v>
      </c>
      <c r="U34" s="157">
        <f t="shared" si="13"/>
        <v>0.93181818181818177</v>
      </c>
      <c r="V34" s="158">
        <f>IF(ISNUMBER(V6),V33/V7,1)</f>
        <v>1</v>
      </c>
      <c r="W34" s="11"/>
      <c r="X34" s="12"/>
      <c r="Y34" s="13"/>
    </row>
    <row r="35" spans="1:25">
      <c r="A35" s="7"/>
      <c r="B35" s="8"/>
      <c r="C35" s="9"/>
      <c r="D35" s="9"/>
      <c r="E35" s="8"/>
      <c r="F35" s="8"/>
      <c r="G35" s="8"/>
      <c r="H35" s="8"/>
      <c r="I35" s="8"/>
      <c r="J35" s="10"/>
      <c r="N35" s="181" t="s">
        <v>38</v>
      </c>
      <c r="O35" s="182"/>
      <c r="P35" s="183">
        <f>Q35</f>
        <v>0.13803680981595093</v>
      </c>
      <c r="Q35" s="183">
        <f>(Q8+P8)*2/(O20+Q20)</f>
        <v>0.13803680981595093</v>
      </c>
      <c r="R35" s="183">
        <f>((R8+Q8+P8)/3)*4/(O20+R20)</f>
        <v>0.14656822532130159</v>
      </c>
      <c r="S35" s="184">
        <f>(S8+R8+Q8+P8)/(O20+S20)</f>
        <v>0.14420803782505912</v>
      </c>
      <c r="T35" s="184">
        <f>(T8+S8+R8+Q8)/(P20+T20)</f>
        <v>0.13521330441070137</v>
      </c>
      <c r="U35" s="184">
        <f>(U8+T8+S8+R8)/(Q20+U20)</f>
        <v>0.12861072902338377</v>
      </c>
      <c r="V35" s="184">
        <f>(V8+U8+T8+S8)/(R20+V20)</f>
        <v>0.15113547376664058</v>
      </c>
      <c r="W35" s="66"/>
      <c r="X35" s="59"/>
      <c r="Y35" s="60"/>
    </row>
    <row r="36" spans="1:25" ht="17.25" thickBot="1">
      <c r="A36" s="7"/>
      <c r="B36" s="9"/>
      <c r="C36" s="9"/>
      <c r="D36" s="9"/>
      <c r="E36" s="9"/>
      <c r="F36" s="9"/>
      <c r="G36" s="9"/>
      <c r="H36" s="9"/>
      <c r="I36" s="9"/>
      <c r="J36" s="10"/>
      <c r="N36" s="168" t="s">
        <v>64</v>
      </c>
      <c r="O36" s="185">
        <f>O15-O16</f>
        <v>5</v>
      </c>
      <c r="P36" s="185">
        <f>P15-P16</f>
        <v>72</v>
      </c>
      <c r="Q36" s="185">
        <f t="shared" ref="Q36:V36" si="14">Q15-Q16</f>
        <v>50</v>
      </c>
      <c r="R36" s="185">
        <f t="shared" si="14"/>
        <v>8</v>
      </c>
      <c r="S36" s="185">
        <f t="shared" si="14"/>
        <v>51</v>
      </c>
      <c r="T36" s="185">
        <f t="shared" si="14"/>
        <v>68</v>
      </c>
      <c r="U36" s="185">
        <f t="shared" si="14"/>
        <v>40</v>
      </c>
      <c r="V36" s="186">
        <f t="shared" si="14"/>
        <v>31</v>
      </c>
      <c r="W36" s="67"/>
      <c r="X36" s="61"/>
      <c r="Y36" s="62"/>
    </row>
    <row r="37" spans="1:25" ht="17.25" thickBot="1">
      <c r="A37" s="17"/>
      <c r="B37" s="18"/>
      <c r="C37" s="18"/>
      <c r="D37" s="18"/>
      <c r="E37" s="18"/>
      <c r="F37" s="18"/>
      <c r="G37" s="18"/>
      <c r="H37" s="18"/>
      <c r="I37" s="18"/>
      <c r="J37" s="19"/>
      <c r="N37" s="187" t="s">
        <v>63</v>
      </c>
      <c r="O37" s="208"/>
      <c r="P37" s="209"/>
      <c r="Q37" s="209"/>
      <c r="R37" s="209"/>
      <c r="S37" s="209"/>
      <c r="T37" s="209"/>
      <c r="U37" s="209"/>
      <c r="V37" s="210"/>
      <c r="W37" s="67"/>
      <c r="X37" s="61"/>
      <c r="Y37" s="62"/>
    </row>
    <row r="38" spans="1:25" ht="17.25" thickBot="1">
      <c r="B38" s="3" t="s">
        <v>681</v>
      </c>
    </row>
    <row r="39" spans="1:25">
      <c r="B39" s="3" t="s">
        <v>65</v>
      </c>
      <c r="N39" s="191" t="s">
        <v>197</v>
      </c>
      <c r="O39" s="206" t="s">
        <v>199</v>
      </c>
      <c r="P39" s="206" t="s">
        <v>200</v>
      </c>
      <c r="Q39" s="206" t="s">
        <v>201</v>
      </c>
      <c r="R39" s="206" t="s">
        <v>202</v>
      </c>
      <c r="S39" s="206" t="s">
        <v>203</v>
      </c>
      <c r="T39" s="206" t="s">
        <v>204</v>
      </c>
      <c r="U39" s="206" t="s">
        <v>205</v>
      </c>
      <c r="V39" s="206" t="s">
        <v>206</v>
      </c>
      <c r="W39" s="206" t="s">
        <v>207</v>
      </c>
      <c r="X39" s="206" t="s">
        <v>208</v>
      </c>
      <c r="Y39" s="206" t="s">
        <v>209</v>
      </c>
    </row>
    <row r="40" spans="1:25" ht="17.25" thickBot="1">
      <c r="B40" s="3" t="s">
        <v>93</v>
      </c>
      <c r="C40" s="3" t="s">
        <v>680</v>
      </c>
      <c r="D40" s="3" t="s">
        <v>94</v>
      </c>
      <c r="E40" s="3" t="s">
        <v>95</v>
      </c>
      <c r="F40" s="3" t="s">
        <v>96</v>
      </c>
      <c r="G40" s="3" t="s">
        <v>97</v>
      </c>
      <c r="H40" s="3" t="s">
        <v>98</v>
      </c>
      <c r="I40" s="3" t="s">
        <v>99</v>
      </c>
      <c r="J40" s="3" t="s">
        <v>100</v>
      </c>
      <c r="N40" s="192" t="s">
        <v>198</v>
      </c>
      <c r="O40" s="207"/>
      <c r="P40" s="207"/>
      <c r="Q40" s="207"/>
      <c r="R40" s="207"/>
      <c r="S40" s="207"/>
      <c r="T40" s="207"/>
      <c r="U40" s="207"/>
      <c r="V40" s="207"/>
      <c r="W40" s="207"/>
      <c r="X40" s="207"/>
      <c r="Y40" s="207"/>
    </row>
    <row r="41" spans="1:25">
      <c r="B41" s="3" t="s">
        <v>11</v>
      </c>
      <c r="C41" s="21">
        <v>209</v>
      </c>
      <c r="D41" s="21">
        <v>184</v>
      </c>
      <c r="E41" s="21">
        <v>231</v>
      </c>
      <c r="F41" s="21">
        <v>206</v>
      </c>
      <c r="G41" s="21">
        <v>192</v>
      </c>
      <c r="H41" s="21">
        <v>160</v>
      </c>
      <c r="I41" s="21">
        <v>215</v>
      </c>
      <c r="J41" s="21">
        <v>158</v>
      </c>
      <c r="N41" s="23" t="s">
        <v>683</v>
      </c>
      <c r="O41" s="219">
        <v>0.5625</v>
      </c>
      <c r="P41" s="222">
        <v>107</v>
      </c>
      <c r="Q41" s="225">
        <v>106.5</v>
      </c>
      <c r="R41" s="225">
        <v>109</v>
      </c>
      <c r="S41" s="277">
        <v>0</v>
      </c>
      <c r="T41" s="228">
        <v>14</v>
      </c>
      <c r="U41" s="216">
        <v>107</v>
      </c>
      <c r="V41" s="216">
        <v>106</v>
      </c>
      <c r="W41" s="216">
        <v>108.5</v>
      </c>
      <c r="X41" s="216">
        <v>106</v>
      </c>
      <c r="Y41" s="26" t="s">
        <v>211</v>
      </c>
    </row>
    <row r="42" spans="1:25">
      <c r="B42" s="3" t="s">
        <v>12</v>
      </c>
      <c r="C42" s="21">
        <v>84</v>
      </c>
      <c r="D42" s="21">
        <v>78</v>
      </c>
      <c r="E42" s="21">
        <v>96</v>
      </c>
      <c r="F42" s="21">
        <v>86</v>
      </c>
      <c r="G42" s="21">
        <v>75</v>
      </c>
      <c r="H42" s="21">
        <v>65</v>
      </c>
      <c r="I42" s="21">
        <v>85</v>
      </c>
      <c r="J42" s="21">
        <v>67</v>
      </c>
      <c r="N42" s="24" t="s">
        <v>210</v>
      </c>
      <c r="O42" s="220"/>
      <c r="P42" s="223"/>
      <c r="Q42" s="226"/>
      <c r="R42" s="226"/>
      <c r="S42" s="278"/>
      <c r="T42" s="229"/>
      <c r="U42" s="217"/>
      <c r="V42" s="217"/>
      <c r="W42" s="217"/>
      <c r="X42" s="217"/>
      <c r="Y42" s="22" t="s">
        <v>212</v>
      </c>
    </row>
    <row r="43" spans="1:25">
      <c r="B43" s="3" t="s">
        <v>102</v>
      </c>
      <c r="C43" s="21">
        <v>125</v>
      </c>
      <c r="D43" s="21">
        <v>106</v>
      </c>
      <c r="E43" s="21">
        <v>135</v>
      </c>
      <c r="F43" s="21">
        <v>120</v>
      </c>
      <c r="G43" s="21">
        <v>116</v>
      </c>
      <c r="H43" s="21">
        <v>94</v>
      </c>
      <c r="I43" s="21">
        <v>129</v>
      </c>
      <c r="J43" s="21">
        <v>91</v>
      </c>
      <c r="N43" s="74"/>
      <c r="O43" s="220"/>
      <c r="P43" s="223"/>
      <c r="Q43" s="226"/>
      <c r="R43" s="226"/>
      <c r="S43" s="278"/>
      <c r="T43" s="229"/>
      <c r="U43" s="217"/>
      <c r="V43" s="217"/>
      <c r="W43" s="217"/>
      <c r="X43" s="217"/>
      <c r="Y43" s="22" t="s">
        <v>213</v>
      </c>
    </row>
    <row r="44" spans="1:25" ht="17.25" thickBot="1">
      <c r="B44" s="3" t="s">
        <v>103</v>
      </c>
      <c r="C44" s="21">
        <v>0</v>
      </c>
      <c r="D44" s="21">
        <v>0</v>
      </c>
      <c r="E44" s="21">
        <v>0</v>
      </c>
      <c r="F44" s="21">
        <v>0</v>
      </c>
      <c r="G44" s="21">
        <v>0</v>
      </c>
      <c r="H44" s="21">
        <v>0</v>
      </c>
      <c r="I44" s="21">
        <v>0</v>
      </c>
      <c r="J44" s="21">
        <v>0</v>
      </c>
      <c r="N44" s="25"/>
      <c r="O44" s="221"/>
      <c r="P44" s="224"/>
      <c r="Q44" s="227"/>
      <c r="R44" s="227"/>
      <c r="S44" s="279"/>
      <c r="T44" s="230"/>
      <c r="U44" s="218"/>
      <c r="V44" s="218"/>
      <c r="W44" s="218"/>
      <c r="X44" s="218"/>
      <c r="Y44" s="27" t="s">
        <v>214</v>
      </c>
    </row>
    <row r="45" spans="1:25" ht="17.25" customHeight="1" thickBot="1">
      <c r="B45" s="3" t="s">
        <v>104</v>
      </c>
      <c r="C45" s="21">
        <v>125</v>
      </c>
      <c r="D45" s="21">
        <v>106</v>
      </c>
      <c r="E45" s="21">
        <v>135</v>
      </c>
      <c r="F45" s="21">
        <v>120</v>
      </c>
      <c r="G45" s="21">
        <v>116</v>
      </c>
      <c r="H45" s="21">
        <v>94</v>
      </c>
      <c r="I45" s="21">
        <v>129</v>
      </c>
      <c r="J45" s="21">
        <v>91</v>
      </c>
      <c r="N45" s="75" t="s">
        <v>215</v>
      </c>
      <c r="O45" s="213" t="s">
        <v>216</v>
      </c>
      <c r="P45" s="214"/>
      <c r="Q45" s="214"/>
      <c r="R45" s="214"/>
      <c r="S45" s="214"/>
      <c r="T45" s="214"/>
      <c r="U45" s="214"/>
      <c r="V45" s="214"/>
      <c r="W45" s="214"/>
      <c r="X45" s="214"/>
      <c r="Y45" s="215"/>
    </row>
    <row r="46" spans="1:25">
      <c r="B46" s="3" t="s">
        <v>105</v>
      </c>
      <c r="C46" s="21">
        <v>66</v>
      </c>
      <c r="D46" s="21">
        <v>64</v>
      </c>
      <c r="E46" s="21">
        <v>67</v>
      </c>
      <c r="F46" s="21">
        <v>62</v>
      </c>
      <c r="G46" s="21">
        <v>63</v>
      </c>
      <c r="H46" s="21">
        <v>56</v>
      </c>
      <c r="I46" s="21">
        <v>69</v>
      </c>
      <c r="J46" s="21">
        <v>54</v>
      </c>
      <c r="N46" s="69"/>
      <c r="O46" s="211"/>
      <c r="P46" s="211"/>
      <c r="Q46" s="69"/>
      <c r="R46" s="69"/>
    </row>
    <row r="47" spans="1:25">
      <c r="B47" s="3" t="s">
        <v>106</v>
      </c>
      <c r="C47" s="21">
        <v>38</v>
      </c>
      <c r="D47" s="21">
        <v>38</v>
      </c>
      <c r="E47" s="21">
        <v>40</v>
      </c>
      <c r="F47" s="21">
        <v>37</v>
      </c>
      <c r="G47" s="21">
        <v>35</v>
      </c>
      <c r="H47" s="21">
        <v>33</v>
      </c>
      <c r="I47" s="21">
        <v>42</v>
      </c>
      <c r="J47" s="21">
        <v>33</v>
      </c>
      <c r="N47" s="69"/>
      <c r="O47" s="212"/>
      <c r="P47" s="212"/>
      <c r="Q47" s="69"/>
      <c r="R47" s="69"/>
    </row>
    <row r="48" spans="1:25">
      <c r="B48" s="3" t="s">
        <v>107</v>
      </c>
      <c r="C48" s="21">
        <v>15</v>
      </c>
      <c r="D48" s="21">
        <v>12</v>
      </c>
      <c r="E48" s="21">
        <v>14</v>
      </c>
      <c r="F48" s="21">
        <v>13</v>
      </c>
      <c r="G48" s="21">
        <v>13</v>
      </c>
      <c r="H48" s="21">
        <v>12</v>
      </c>
      <c r="I48" s="21">
        <v>14</v>
      </c>
      <c r="J48" s="21">
        <v>11</v>
      </c>
      <c r="N48" s="69"/>
      <c r="O48" s="212"/>
      <c r="P48" s="212"/>
      <c r="Q48" s="69"/>
      <c r="R48" s="69"/>
    </row>
    <row r="49" spans="2:18">
      <c r="B49" s="3" t="s">
        <v>108</v>
      </c>
      <c r="C49" s="21">
        <v>13</v>
      </c>
      <c r="D49" s="21">
        <v>14</v>
      </c>
      <c r="E49" s="21">
        <v>13</v>
      </c>
      <c r="F49" s="21">
        <v>12</v>
      </c>
      <c r="G49" s="21">
        <v>15</v>
      </c>
      <c r="H49" s="21">
        <v>11</v>
      </c>
      <c r="I49" s="21">
        <v>13</v>
      </c>
      <c r="J49" s="21">
        <v>9</v>
      </c>
      <c r="N49" s="69"/>
      <c r="O49" s="231"/>
      <c r="P49" s="231"/>
      <c r="Q49" s="70"/>
      <c r="R49" s="70"/>
    </row>
    <row r="50" spans="2:18">
      <c r="B50" s="3" t="s">
        <v>109</v>
      </c>
      <c r="C50" s="21">
        <v>59</v>
      </c>
      <c r="D50" s="21">
        <v>41</v>
      </c>
      <c r="E50" s="21">
        <v>68</v>
      </c>
      <c r="F50" s="21">
        <v>57</v>
      </c>
      <c r="G50" s="21">
        <v>53</v>
      </c>
      <c r="H50" s="21">
        <v>39</v>
      </c>
      <c r="I50" s="21">
        <v>60</v>
      </c>
      <c r="J50" s="21">
        <v>38</v>
      </c>
      <c r="N50" s="232"/>
      <c r="O50" s="233"/>
      <c r="P50" s="233"/>
    </row>
    <row r="51" spans="2:18" ht="17.25">
      <c r="B51" s="3" t="s">
        <v>110</v>
      </c>
      <c r="C51" s="21" t="s">
        <v>145</v>
      </c>
      <c r="D51" s="21">
        <v>0</v>
      </c>
      <c r="E51" s="21">
        <v>0</v>
      </c>
      <c r="F51" s="21">
        <v>0</v>
      </c>
      <c r="G51" s="21">
        <v>0</v>
      </c>
      <c r="H51" s="21">
        <v>0</v>
      </c>
      <c r="I51" s="21">
        <v>0</v>
      </c>
      <c r="J51" s="21">
        <v>0</v>
      </c>
      <c r="N51" s="232"/>
      <c r="O51" s="71"/>
      <c r="P51" s="72"/>
    </row>
    <row r="52" spans="2:18">
      <c r="B52" s="3" t="s">
        <v>111</v>
      </c>
      <c r="C52" s="21">
        <v>0</v>
      </c>
      <c r="D52" s="21">
        <v>0</v>
      </c>
      <c r="E52" s="21">
        <v>0</v>
      </c>
      <c r="F52" s="21">
        <v>0</v>
      </c>
      <c r="G52" s="21">
        <v>0</v>
      </c>
      <c r="H52" s="21">
        <v>0</v>
      </c>
      <c r="I52" s="21">
        <v>0</v>
      </c>
      <c r="J52" s="21">
        <v>0</v>
      </c>
      <c r="N52" s="69"/>
      <c r="O52" s="212"/>
      <c r="P52" s="212"/>
      <c r="Q52" s="69"/>
      <c r="R52" s="69"/>
    </row>
    <row r="53" spans="2:18">
      <c r="B53" s="3" t="s">
        <v>112</v>
      </c>
      <c r="C53" s="21" t="s">
        <v>145</v>
      </c>
      <c r="D53" s="21">
        <v>0</v>
      </c>
      <c r="E53" s="21">
        <v>0</v>
      </c>
      <c r="F53" s="21">
        <v>0</v>
      </c>
      <c r="G53" s="21">
        <v>0</v>
      </c>
      <c r="H53" s="21">
        <v>0</v>
      </c>
      <c r="I53" s="21">
        <v>0</v>
      </c>
      <c r="J53" s="21">
        <v>0</v>
      </c>
      <c r="N53" s="69"/>
      <c r="O53" s="212"/>
      <c r="P53" s="212"/>
      <c r="Q53" s="69"/>
      <c r="R53" s="69"/>
    </row>
    <row r="54" spans="2:18">
      <c r="B54" s="3" t="s">
        <v>113</v>
      </c>
      <c r="C54" s="21" t="s">
        <v>145</v>
      </c>
      <c r="D54" s="21">
        <v>0</v>
      </c>
      <c r="E54" s="21">
        <v>0</v>
      </c>
      <c r="F54" s="3">
        <v>0</v>
      </c>
      <c r="G54" s="3">
        <v>0</v>
      </c>
      <c r="H54" s="21">
        <v>0</v>
      </c>
      <c r="I54" s="3">
        <v>0</v>
      </c>
      <c r="J54" s="21">
        <v>0</v>
      </c>
      <c r="N54" s="69"/>
      <c r="O54" s="212"/>
      <c r="P54" s="212"/>
      <c r="Q54" s="69"/>
      <c r="R54" s="69"/>
    </row>
    <row r="55" spans="2:18">
      <c r="B55" s="3" t="s">
        <v>114</v>
      </c>
      <c r="C55" s="21" t="s">
        <v>145</v>
      </c>
      <c r="D55" s="21">
        <v>0</v>
      </c>
      <c r="E55" s="21">
        <v>0</v>
      </c>
      <c r="F55" s="21">
        <v>0</v>
      </c>
      <c r="G55" s="21">
        <v>0</v>
      </c>
      <c r="H55" s="21">
        <v>0</v>
      </c>
      <c r="I55" s="21">
        <v>0</v>
      </c>
      <c r="J55" s="3">
        <v>0</v>
      </c>
      <c r="N55" s="69"/>
      <c r="O55" s="212"/>
      <c r="P55" s="212"/>
      <c r="Q55" s="69"/>
      <c r="R55" s="69"/>
    </row>
    <row r="56" spans="2:18">
      <c r="B56" s="3" t="s">
        <v>115</v>
      </c>
      <c r="C56" s="3">
        <v>0</v>
      </c>
      <c r="D56" s="3">
        <v>0</v>
      </c>
      <c r="E56" s="3">
        <v>0</v>
      </c>
      <c r="F56" s="3">
        <v>0</v>
      </c>
      <c r="G56" s="3">
        <v>0</v>
      </c>
      <c r="H56" s="3">
        <v>0</v>
      </c>
      <c r="I56" s="3">
        <v>0</v>
      </c>
      <c r="J56" s="3">
        <v>0</v>
      </c>
      <c r="N56" s="69"/>
      <c r="O56" s="212"/>
      <c r="P56" s="212"/>
      <c r="Q56" s="69"/>
      <c r="R56" s="69"/>
    </row>
    <row r="57" spans="2:18">
      <c r="B57" s="3" t="s">
        <v>116</v>
      </c>
      <c r="C57" s="21" t="s">
        <v>145</v>
      </c>
      <c r="D57" s="21">
        <v>0</v>
      </c>
      <c r="E57" s="21">
        <v>0</v>
      </c>
      <c r="F57" s="21">
        <v>0</v>
      </c>
      <c r="G57" s="21">
        <v>0</v>
      </c>
      <c r="H57" s="21">
        <v>0</v>
      </c>
      <c r="I57" s="21">
        <v>0</v>
      </c>
      <c r="J57" s="21">
        <v>0</v>
      </c>
      <c r="N57" s="69"/>
      <c r="O57" s="212"/>
      <c r="P57" s="212"/>
      <c r="Q57" s="69"/>
      <c r="R57" s="69"/>
    </row>
    <row r="58" spans="2:18">
      <c r="B58" s="3" t="s">
        <v>117</v>
      </c>
      <c r="C58" s="3" t="s">
        <v>145</v>
      </c>
      <c r="D58" s="3">
        <v>0</v>
      </c>
      <c r="E58" s="3">
        <v>0</v>
      </c>
      <c r="F58" s="3">
        <v>0</v>
      </c>
      <c r="G58" s="21">
        <v>0</v>
      </c>
      <c r="H58" s="21">
        <v>0</v>
      </c>
      <c r="I58" s="3">
        <v>0</v>
      </c>
      <c r="J58" s="3">
        <v>0</v>
      </c>
      <c r="N58" s="69"/>
      <c r="O58" s="212"/>
      <c r="P58" s="212"/>
      <c r="Q58" s="69"/>
      <c r="R58" s="69"/>
    </row>
    <row r="59" spans="2:18">
      <c r="B59" s="3" t="s">
        <v>118</v>
      </c>
      <c r="C59" s="3" t="s">
        <v>145</v>
      </c>
      <c r="D59" s="3">
        <v>0</v>
      </c>
      <c r="E59" s="3">
        <v>0</v>
      </c>
      <c r="F59" s="3">
        <v>0</v>
      </c>
      <c r="G59" s="3">
        <v>0</v>
      </c>
      <c r="H59" s="3">
        <v>0</v>
      </c>
      <c r="I59" s="3">
        <v>0</v>
      </c>
      <c r="J59" s="3">
        <v>0</v>
      </c>
      <c r="N59" s="69"/>
      <c r="O59" s="212"/>
      <c r="P59" s="212"/>
      <c r="Q59" s="70"/>
    </row>
    <row r="60" spans="2:18">
      <c r="B60" s="3" t="s">
        <v>119</v>
      </c>
      <c r="C60" s="21">
        <v>0</v>
      </c>
      <c r="D60" s="3">
        <v>0</v>
      </c>
      <c r="E60" s="3">
        <v>0</v>
      </c>
      <c r="F60" s="3">
        <v>0</v>
      </c>
      <c r="G60" s="21">
        <v>0</v>
      </c>
      <c r="H60" s="3">
        <v>0</v>
      </c>
      <c r="I60" s="3">
        <v>0</v>
      </c>
      <c r="J60" s="3">
        <v>0</v>
      </c>
      <c r="N60" s="232"/>
      <c r="O60" s="233"/>
      <c r="P60" s="233"/>
    </row>
    <row r="61" spans="2:18" ht="17.25">
      <c r="B61" s="3" t="s">
        <v>120</v>
      </c>
      <c r="C61" s="21" t="s">
        <v>145</v>
      </c>
      <c r="D61" s="21">
        <v>0</v>
      </c>
      <c r="E61" s="21">
        <v>0</v>
      </c>
      <c r="F61" s="21">
        <v>0</v>
      </c>
      <c r="G61" s="21">
        <v>0</v>
      </c>
      <c r="H61" s="21">
        <v>0</v>
      </c>
      <c r="I61" s="21">
        <v>0</v>
      </c>
      <c r="J61" s="21">
        <v>1</v>
      </c>
      <c r="N61" s="232"/>
      <c r="O61" s="71"/>
      <c r="P61" s="73"/>
    </row>
    <row r="62" spans="2:18">
      <c r="B62" s="3" t="s">
        <v>121</v>
      </c>
      <c r="C62" s="21" t="s">
        <v>145</v>
      </c>
      <c r="D62" s="21">
        <v>3</v>
      </c>
      <c r="E62" s="21">
        <v>2</v>
      </c>
      <c r="F62" s="21">
        <v>2</v>
      </c>
      <c r="G62" s="21">
        <v>1</v>
      </c>
      <c r="H62" s="21">
        <v>5</v>
      </c>
      <c r="I62" s="21">
        <v>5</v>
      </c>
      <c r="J62" s="21">
        <v>2</v>
      </c>
      <c r="N62" s="69"/>
      <c r="O62" s="212"/>
      <c r="P62" s="212"/>
      <c r="Q62" s="69"/>
      <c r="R62" s="69"/>
    </row>
    <row r="63" spans="2:18">
      <c r="B63" s="3" t="s">
        <v>122</v>
      </c>
      <c r="C63" s="21" t="s">
        <v>145</v>
      </c>
      <c r="D63" s="21">
        <v>3</v>
      </c>
      <c r="E63" s="21">
        <v>2</v>
      </c>
      <c r="F63" s="21">
        <v>2</v>
      </c>
      <c r="G63" s="21">
        <v>1</v>
      </c>
      <c r="H63" s="21">
        <v>5</v>
      </c>
      <c r="I63" s="21">
        <v>5</v>
      </c>
      <c r="J63" s="21">
        <v>3</v>
      </c>
      <c r="N63" s="69"/>
      <c r="O63" s="212"/>
      <c r="P63" s="212"/>
      <c r="Q63" s="69"/>
      <c r="R63" s="69"/>
    </row>
    <row r="64" spans="2:18">
      <c r="B64" s="3" t="s">
        <v>123</v>
      </c>
      <c r="C64" s="21" t="s">
        <v>145</v>
      </c>
      <c r="D64" s="21">
        <v>0</v>
      </c>
      <c r="E64" s="21">
        <v>0</v>
      </c>
      <c r="F64" s="21">
        <v>0</v>
      </c>
      <c r="G64" s="21">
        <v>0</v>
      </c>
      <c r="H64" s="21">
        <v>0</v>
      </c>
      <c r="I64" s="21">
        <v>0</v>
      </c>
      <c r="J64" s="21">
        <v>0</v>
      </c>
      <c r="N64" s="69"/>
      <c r="O64" s="212"/>
      <c r="P64" s="212"/>
      <c r="Q64" s="69"/>
      <c r="R64" s="69"/>
    </row>
    <row r="65" spans="2:18">
      <c r="B65" s="3" t="s">
        <v>124</v>
      </c>
      <c r="C65" s="21" t="s">
        <v>145</v>
      </c>
      <c r="D65" s="21">
        <v>0</v>
      </c>
      <c r="E65" s="21">
        <v>0</v>
      </c>
      <c r="F65" s="21">
        <v>0</v>
      </c>
      <c r="G65" s="21">
        <v>0</v>
      </c>
      <c r="H65" s="21">
        <v>0</v>
      </c>
      <c r="I65" s="21">
        <v>0</v>
      </c>
      <c r="J65" s="21">
        <v>0</v>
      </c>
      <c r="N65" s="69"/>
      <c r="O65" s="212"/>
      <c r="P65" s="212"/>
      <c r="Q65" s="69"/>
      <c r="R65" s="69"/>
    </row>
    <row r="66" spans="2:18">
      <c r="B66" s="3" t="s">
        <v>125</v>
      </c>
      <c r="C66" s="3">
        <v>0</v>
      </c>
      <c r="D66" s="3">
        <v>0</v>
      </c>
      <c r="E66" s="21">
        <v>0</v>
      </c>
      <c r="F66" s="3">
        <v>0</v>
      </c>
      <c r="G66" s="21">
        <v>0</v>
      </c>
      <c r="H66" s="21">
        <v>0</v>
      </c>
      <c r="I66" s="3">
        <v>0</v>
      </c>
      <c r="J66" s="3">
        <v>0</v>
      </c>
      <c r="N66" s="69"/>
      <c r="O66" s="212"/>
      <c r="P66" s="212"/>
      <c r="Q66" s="69"/>
      <c r="R66" s="69"/>
    </row>
    <row r="67" spans="2:18">
      <c r="B67" s="3" t="s">
        <v>126</v>
      </c>
      <c r="C67" s="21" t="s">
        <v>145</v>
      </c>
      <c r="D67" s="21">
        <v>0</v>
      </c>
      <c r="E67" s="21">
        <v>0</v>
      </c>
      <c r="F67" s="3">
        <v>0</v>
      </c>
      <c r="G67" s="21">
        <v>0</v>
      </c>
      <c r="H67" s="21">
        <v>0</v>
      </c>
      <c r="I67" s="21">
        <v>0</v>
      </c>
      <c r="J67" s="21">
        <v>0</v>
      </c>
      <c r="N67" s="69"/>
      <c r="O67" s="212"/>
      <c r="P67" s="212"/>
      <c r="Q67" s="69"/>
      <c r="R67" s="69"/>
    </row>
    <row r="68" spans="2:18">
      <c r="B68" s="3" t="s">
        <v>127</v>
      </c>
      <c r="C68" s="21" t="s">
        <v>145</v>
      </c>
      <c r="D68" s="21">
        <v>0</v>
      </c>
      <c r="E68" s="21">
        <v>0</v>
      </c>
      <c r="F68" s="21">
        <v>0</v>
      </c>
      <c r="G68" s="21">
        <v>0</v>
      </c>
      <c r="H68" s="21">
        <v>0</v>
      </c>
      <c r="I68" s="21">
        <v>0</v>
      </c>
      <c r="J68" s="21">
        <v>0</v>
      </c>
      <c r="N68" s="69"/>
      <c r="O68" s="212"/>
      <c r="P68" s="212"/>
      <c r="Q68" s="69"/>
      <c r="R68" s="69"/>
    </row>
    <row r="69" spans="2:18">
      <c r="B69" s="3" t="s">
        <v>128</v>
      </c>
      <c r="C69" s="21" t="s">
        <v>145</v>
      </c>
      <c r="D69" s="21">
        <v>0</v>
      </c>
      <c r="E69" s="21">
        <v>0</v>
      </c>
      <c r="F69" s="21">
        <v>0</v>
      </c>
      <c r="G69" s="21">
        <v>0</v>
      </c>
      <c r="H69" s="21">
        <v>0</v>
      </c>
      <c r="I69" s="21">
        <v>0</v>
      </c>
      <c r="J69" s="21">
        <v>0</v>
      </c>
      <c r="N69" s="69"/>
      <c r="O69" s="212"/>
      <c r="P69" s="212"/>
      <c r="Q69" s="69"/>
      <c r="R69" s="69"/>
    </row>
    <row r="70" spans="2:18">
      <c r="B70" s="3" t="s">
        <v>129</v>
      </c>
      <c r="C70" s="3">
        <v>0</v>
      </c>
      <c r="D70" s="3">
        <v>0</v>
      </c>
      <c r="E70" s="3">
        <v>0</v>
      </c>
      <c r="F70" s="3">
        <v>0</v>
      </c>
      <c r="G70" s="3">
        <v>0</v>
      </c>
      <c r="H70" s="3">
        <v>0</v>
      </c>
      <c r="I70" s="3">
        <v>0</v>
      </c>
      <c r="J70" s="3">
        <v>0</v>
      </c>
      <c r="N70" s="69"/>
      <c r="O70" s="212"/>
      <c r="P70" s="212"/>
      <c r="Q70" s="69"/>
      <c r="R70" s="69"/>
    </row>
    <row r="71" spans="2:18">
      <c r="B71" s="3" t="s">
        <v>130</v>
      </c>
      <c r="C71" s="21" t="s">
        <v>145</v>
      </c>
      <c r="D71" s="21">
        <v>0</v>
      </c>
      <c r="E71" s="21">
        <v>0</v>
      </c>
      <c r="F71" s="21">
        <v>0</v>
      </c>
      <c r="G71" s="21">
        <v>0</v>
      </c>
      <c r="H71" s="21">
        <v>0</v>
      </c>
      <c r="I71" s="21">
        <v>0</v>
      </c>
      <c r="J71" s="21">
        <v>0</v>
      </c>
      <c r="N71" s="69"/>
      <c r="O71" s="212"/>
      <c r="P71" s="212"/>
      <c r="Q71" s="69"/>
      <c r="R71" s="69"/>
    </row>
    <row r="72" spans="2:18">
      <c r="B72" s="3" t="s">
        <v>131</v>
      </c>
      <c r="C72" s="21" t="s">
        <v>145</v>
      </c>
      <c r="D72" s="21">
        <v>0</v>
      </c>
      <c r="E72" s="21">
        <v>0</v>
      </c>
      <c r="F72" s="21">
        <v>0</v>
      </c>
      <c r="G72" s="21">
        <v>0</v>
      </c>
      <c r="H72" s="21">
        <v>0</v>
      </c>
      <c r="I72" s="21">
        <v>0</v>
      </c>
      <c r="J72" s="21">
        <v>0</v>
      </c>
      <c r="N72" s="232"/>
      <c r="O72" s="233"/>
      <c r="P72" s="233"/>
    </row>
    <row r="73" spans="2:18" ht="17.25">
      <c r="B73" s="3" t="s">
        <v>132</v>
      </c>
      <c r="C73" s="21" t="s">
        <v>145</v>
      </c>
      <c r="D73" s="21">
        <v>0</v>
      </c>
      <c r="E73" s="21">
        <v>0</v>
      </c>
      <c r="F73" s="21">
        <v>0</v>
      </c>
      <c r="G73" s="21">
        <v>0</v>
      </c>
      <c r="H73" s="21">
        <v>0</v>
      </c>
      <c r="I73" s="21">
        <v>0</v>
      </c>
      <c r="J73" s="21">
        <v>0</v>
      </c>
      <c r="N73" s="232"/>
      <c r="O73" s="71"/>
      <c r="P73" s="73"/>
    </row>
    <row r="74" spans="2:18">
      <c r="B74" s="3" t="s">
        <v>133</v>
      </c>
      <c r="C74" s="21" t="s">
        <v>145</v>
      </c>
      <c r="D74" s="21">
        <v>0</v>
      </c>
      <c r="E74" s="21">
        <v>2</v>
      </c>
      <c r="F74" s="21">
        <v>1</v>
      </c>
      <c r="G74" s="21">
        <v>-1</v>
      </c>
      <c r="H74" s="21">
        <v>1</v>
      </c>
      <c r="I74" s="21">
        <v>0</v>
      </c>
      <c r="J74" s="21">
        <v>0</v>
      </c>
      <c r="N74" s="69"/>
      <c r="O74" s="212"/>
      <c r="P74" s="212"/>
      <c r="Q74" s="69"/>
      <c r="R74" s="69"/>
    </row>
    <row r="75" spans="2:18">
      <c r="B75" s="3" t="s">
        <v>134</v>
      </c>
      <c r="C75" s="21">
        <v>0</v>
      </c>
      <c r="D75" s="21">
        <v>0</v>
      </c>
      <c r="E75" s="21">
        <v>0</v>
      </c>
      <c r="F75" s="21">
        <v>0</v>
      </c>
      <c r="G75" s="21">
        <v>0</v>
      </c>
      <c r="H75" s="21">
        <v>0</v>
      </c>
      <c r="I75" s="21">
        <v>0</v>
      </c>
      <c r="J75" s="21">
        <v>0</v>
      </c>
      <c r="N75" s="69"/>
      <c r="O75" s="212"/>
      <c r="P75" s="212"/>
      <c r="Q75" s="69"/>
      <c r="R75" s="69"/>
    </row>
    <row r="76" spans="2:18">
      <c r="B76" s="3" t="s">
        <v>135</v>
      </c>
      <c r="C76" s="21" t="s">
        <v>145</v>
      </c>
      <c r="D76" s="21">
        <v>0</v>
      </c>
      <c r="E76" s="21">
        <v>0</v>
      </c>
      <c r="F76" s="21">
        <v>0</v>
      </c>
      <c r="G76" s="21">
        <v>0</v>
      </c>
      <c r="H76" s="21">
        <v>0</v>
      </c>
      <c r="I76" s="21">
        <v>0</v>
      </c>
      <c r="J76" s="21">
        <v>0</v>
      </c>
      <c r="N76" s="69"/>
      <c r="O76" s="212"/>
      <c r="P76" s="212"/>
      <c r="Q76" s="69"/>
      <c r="R76" s="69"/>
    </row>
    <row r="77" spans="2:18">
      <c r="B77" s="3" t="s">
        <v>136</v>
      </c>
      <c r="C77" s="21" t="s">
        <v>145</v>
      </c>
      <c r="D77" s="21">
        <v>0</v>
      </c>
      <c r="E77" s="21">
        <v>2</v>
      </c>
      <c r="F77" s="21">
        <v>1</v>
      </c>
      <c r="G77" s="21">
        <v>-1</v>
      </c>
      <c r="H77" s="21">
        <v>1</v>
      </c>
      <c r="I77" s="21">
        <v>0</v>
      </c>
      <c r="J77" s="21">
        <v>0</v>
      </c>
      <c r="N77" s="69"/>
      <c r="O77" s="212"/>
      <c r="P77" s="212"/>
      <c r="Q77" s="69"/>
      <c r="R77" s="69"/>
    </row>
    <row r="78" spans="2:18">
      <c r="B78" s="3" t="s">
        <v>137</v>
      </c>
      <c r="C78" s="21">
        <v>64</v>
      </c>
      <c r="D78" s="21">
        <v>44</v>
      </c>
      <c r="E78" s="21">
        <v>69</v>
      </c>
      <c r="F78" s="21">
        <v>59</v>
      </c>
      <c r="G78" s="21">
        <v>55</v>
      </c>
      <c r="H78" s="21">
        <v>43</v>
      </c>
      <c r="I78" s="21">
        <v>65</v>
      </c>
      <c r="J78" s="21">
        <v>41</v>
      </c>
      <c r="N78" s="69"/>
      <c r="O78" s="212"/>
      <c r="P78" s="212"/>
      <c r="Q78" s="69"/>
      <c r="R78" s="69"/>
    </row>
    <row r="79" spans="2:18">
      <c r="B79" s="3" t="s">
        <v>138</v>
      </c>
      <c r="C79" s="21">
        <v>14</v>
      </c>
      <c r="D79" s="21">
        <v>7</v>
      </c>
      <c r="E79" s="21">
        <v>11</v>
      </c>
      <c r="F79" s="21">
        <v>10</v>
      </c>
      <c r="G79" s="21">
        <v>12</v>
      </c>
      <c r="H79" s="21">
        <v>7</v>
      </c>
      <c r="I79" s="21">
        <v>11</v>
      </c>
      <c r="J79" s="21">
        <v>7</v>
      </c>
      <c r="N79" s="69"/>
      <c r="O79" s="212"/>
      <c r="P79" s="212"/>
      <c r="Q79" s="69"/>
      <c r="R79" s="69"/>
    </row>
    <row r="80" spans="2:18">
      <c r="B80" s="3" t="s">
        <v>139</v>
      </c>
      <c r="C80" s="21">
        <v>50</v>
      </c>
      <c r="D80" s="21">
        <v>36</v>
      </c>
      <c r="E80" s="21">
        <v>58</v>
      </c>
      <c r="F80" s="21">
        <v>49</v>
      </c>
      <c r="G80" s="21">
        <v>44</v>
      </c>
      <c r="H80" s="21">
        <v>36</v>
      </c>
      <c r="I80" s="21">
        <v>54</v>
      </c>
      <c r="J80" s="21">
        <v>34</v>
      </c>
      <c r="N80" s="69"/>
      <c r="O80" s="212"/>
      <c r="P80" s="212"/>
      <c r="Q80" s="69"/>
      <c r="R80" s="69"/>
    </row>
    <row r="81" spans="2:18">
      <c r="B81" s="3" t="s">
        <v>140</v>
      </c>
      <c r="C81" s="21">
        <v>0</v>
      </c>
      <c r="D81" s="21">
        <v>0</v>
      </c>
      <c r="E81" s="21">
        <v>0</v>
      </c>
      <c r="F81" s="21">
        <v>0</v>
      </c>
      <c r="G81" s="21">
        <v>0</v>
      </c>
      <c r="H81" s="21">
        <v>0</v>
      </c>
      <c r="I81" s="21">
        <v>0</v>
      </c>
      <c r="J81" s="21">
        <v>0</v>
      </c>
      <c r="N81" s="69"/>
      <c r="O81" s="212"/>
      <c r="P81" s="212"/>
      <c r="Q81" s="69"/>
      <c r="R81" s="69"/>
    </row>
    <row r="82" spans="2:18">
      <c r="B82" s="3" t="s">
        <v>141</v>
      </c>
      <c r="C82" s="21">
        <v>0</v>
      </c>
      <c r="D82" s="21">
        <v>0</v>
      </c>
      <c r="E82" s="21">
        <v>0</v>
      </c>
      <c r="F82" s="21">
        <v>0</v>
      </c>
      <c r="G82" s="21">
        <v>0</v>
      </c>
      <c r="H82" s="21">
        <v>0</v>
      </c>
      <c r="I82" s="21">
        <v>0</v>
      </c>
      <c r="J82" s="21">
        <v>0</v>
      </c>
      <c r="N82" s="69"/>
      <c r="O82" s="212"/>
      <c r="P82" s="212"/>
      <c r="Q82" s="69"/>
      <c r="R82" s="69"/>
    </row>
    <row r="83" spans="2:18">
      <c r="B83" s="3" t="s">
        <v>142</v>
      </c>
      <c r="C83" s="21">
        <v>0</v>
      </c>
      <c r="D83" s="21">
        <v>0</v>
      </c>
      <c r="E83" s="21">
        <v>0</v>
      </c>
      <c r="F83" s="21">
        <v>0</v>
      </c>
      <c r="G83" s="21">
        <v>0</v>
      </c>
      <c r="H83" s="21">
        <v>0</v>
      </c>
      <c r="I83" s="21">
        <v>0</v>
      </c>
      <c r="J83" s="21">
        <v>0</v>
      </c>
      <c r="N83" s="69"/>
      <c r="O83" s="212"/>
      <c r="P83" s="212"/>
      <c r="Q83" s="69"/>
      <c r="R83" s="69"/>
    </row>
    <row r="84" spans="2:18">
      <c r="B84" s="3" t="s">
        <v>143</v>
      </c>
      <c r="C84" s="21">
        <v>50</v>
      </c>
      <c r="D84" s="21">
        <v>36</v>
      </c>
      <c r="E84" s="21">
        <v>58</v>
      </c>
      <c r="F84" s="21">
        <v>49</v>
      </c>
      <c r="G84" s="21">
        <v>44</v>
      </c>
      <c r="H84" s="21">
        <v>36</v>
      </c>
      <c r="I84" s="21">
        <v>54</v>
      </c>
      <c r="J84" s="21">
        <v>34</v>
      </c>
      <c r="N84" s="69"/>
      <c r="O84" s="212"/>
      <c r="P84" s="212"/>
      <c r="Q84" s="69"/>
      <c r="R84" s="69"/>
    </row>
    <row r="85" spans="2:18">
      <c r="B85" s="3" t="s">
        <v>144</v>
      </c>
      <c r="C85" s="21" t="s">
        <v>145</v>
      </c>
      <c r="D85" s="21" t="s">
        <v>145</v>
      </c>
      <c r="E85" s="21" t="s">
        <v>145</v>
      </c>
      <c r="F85" s="21" t="s">
        <v>145</v>
      </c>
      <c r="G85" s="21" t="s">
        <v>145</v>
      </c>
      <c r="H85" s="21" t="s">
        <v>145</v>
      </c>
      <c r="I85" s="21" t="s">
        <v>145</v>
      </c>
      <c r="J85" s="21" t="s">
        <v>145</v>
      </c>
      <c r="N85" s="69"/>
      <c r="O85" s="212"/>
      <c r="P85" s="212"/>
      <c r="Q85" s="69"/>
      <c r="R85" s="69"/>
    </row>
    <row r="86" spans="2:18">
      <c r="B86" s="3" t="s">
        <v>146</v>
      </c>
      <c r="C86" s="21">
        <v>0</v>
      </c>
      <c r="D86" s="21">
        <v>0</v>
      </c>
      <c r="E86" s="21">
        <v>0</v>
      </c>
      <c r="F86" s="21">
        <v>0</v>
      </c>
      <c r="G86" s="21">
        <v>0</v>
      </c>
      <c r="H86" s="21">
        <v>0</v>
      </c>
      <c r="I86" s="21">
        <v>0</v>
      </c>
      <c r="J86" s="21">
        <v>0</v>
      </c>
      <c r="N86" s="69"/>
      <c r="O86" s="212"/>
      <c r="P86" s="212"/>
      <c r="Q86" s="69"/>
      <c r="R86" s="69"/>
    </row>
    <row r="87" spans="2:18">
      <c r="B87" s="3" t="s">
        <v>147</v>
      </c>
      <c r="C87" s="21">
        <v>0</v>
      </c>
      <c r="D87" s="21">
        <v>0</v>
      </c>
      <c r="E87" s="21">
        <v>0</v>
      </c>
      <c r="F87" s="21">
        <v>0</v>
      </c>
      <c r="G87" s="21">
        <v>0</v>
      </c>
      <c r="H87" s="21">
        <v>0</v>
      </c>
      <c r="I87" s="21">
        <v>0</v>
      </c>
      <c r="J87" s="21">
        <v>0</v>
      </c>
      <c r="N87" s="69"/>
      <c r="O87" s="212"/>
      <c r="P87" s="212"/>
      <c r="Q87" s="69"/>
      <c r="R87" s="69"/>
    </row>
    <row r="88" spans="2:18">
      <c r="B88" s="3" t="s">
        <v>14</v>
      </c>
      <c r="C88" s="21">
        <v>50</v>
      </c>
      <c r="D88" s="21">
        <v>36</v>
      </c>
      <c r="E88" s="21">
        <v>58</v>
      </c>
      <c r="F88" s="21">
        <v>49</v>
      </c>
      <c r="G88" s="21">
        <v>44</v>
      </c>
      <c r="H88" s="21">
        <v>36</v>
      </c>
      <c r="I88" s="21">
        <v>54</v>
      </c>
      <c r="J88" s="21">
        <v>34</v>
      </c>
      <c r="N88" s="69"/>
      <c r="O88" s="212"/>
      <c r="P88" s="212"/>
      <c r="Q88" s="69"/>
      <c r="R88" s="69"/>
    </row>
    <row r="89" spans="2:18">
      <c r="B89" s="3" t="s">
        <v>15</v>
      </c>
      <c r="C89" s="21">
        <v>1.94</v>
      </c>
      <c r="D89" s="21">
        <v>1.42</v>
      </c>
      <c r="E89" s="21">
        <v>2.2599999999999998</v>
      </c>
      <c r="F89" s="21">
        <v>1.89</v>
      </c>
      <c r="G89" s="21">
        <v>1.7</v>
      </c>
      <c r="H89" s="21">
        <v>1.39</v>
      </c>
      <c r="I89" s="21">
        <v>2.11</v>
      </c>
      <c r="J89" s="21">
        <v>1.32</v>
      </c>
      <c r="N89" s="69"/>
      <c r="O89" s="212"/>
      <c r="P89" s="212"/>
      <c r="Q89" s="69"/>
      <c r="R89" s="69"/>
    </row>
    <row r="90" spans="2:18">
      <c r="B90" s="3" t="s">
        <v>148</v>
      </c>
      <c r="C90" s="21">
        <v>1.94</v>
      </c>
      <c r="D90" s="21">
        <v>1.41</v>
      </c>
      <c r="E90" s="21" t="s">
        <v>145</v>
      </c>
      <c r="F90" s="21">
        <v>1.89</v>
      </c>
      <c r="G90" s="21">
        <v>1.7</v>
      </c>
      <c r="H90" s="21">
        <v>1.39</v>
      </c>
      <c r="I90" s="21" t="s">
        <v>145</v>
      </c>
      <c r="J90" s="21">
        <v>1.32</v>
      </c>
      <c r="N90" s="69"/>
      <c r="O90" s="212"/>
      <c r="P90" s="212"/>
      <c r="Q90" s="69"/>
      <c r="R90" s="69"/>
    </row>
    <row r="91" spans="2:18">
      <c r="B91" s="3" t="s">
        <v>149</v>
      </c>
      <c r="C91" s="21">
        <v>256</v>
      </c>
      <c r="D91" s="21">
        <v>256</v>
      </c>
      <c r="E91" s="21">
        <v>256</v>
      </c>
      <c r="F91" s="21">
        <v>256</v>
      </c>
      <c r="G91" s="21">
        <v>256</v>
      </c>
      <c r="H91" s="21">
        <v>256</v>
      </c>
      <c r="I91" s="21">
        <v>256</v>
      </c>
      <c r="J91" s="21">
        <v>256</v>
      </c>
      <c r="N91" s="69"/>
      <c r="O91" s="212"/>
      <c r="P91" s="212"/>
      <c r="Q91" s="69"/>
      <c r="R91" s="69"/>
    </row>
    <row r="92" spans="2:18">
      <c r="B92" s="3" t="s">
        <v>150</v>
      </c>
      <c r="C92" s="21">
        <v>0</v>
      </c>
      <c r="D92" s="21">
        <v>0</v>
      </c>
      <c r="E92" s="21">
        <v>0</v>
      </c>
      <c r="F92" s="21">
        <v>0</v>
      </c>
      <c r="G92" s="21">
        <v>0</v>
      </c>
      <c r="H92" s="21">
        <v>0</v>
      </c>
      <c r="I92" s="21">
        <v>0</v>
      </c>
      <c r="J92" s="21">
        <v>0</v>
      </c>
      <c r="N92" s="69"/>
      <c r="O92" s="212"/>
      <c r="P92" s="212"/>
      <c r="Q92" s="69"/>
      <c r="R92" s="69"/>
    </row>
    <row r="93" spans="2:18">
      <c r="B93" s="3" t="s">
        <v>151</v>
      </c>
      <c r="C93" s="21" t="s">
        <v>145</v>
      </c>
      <c r="D93" s="21" t="s">
        <v>145</v>
      </c>
      <c r="E93" s="21">
        <v>0</v>
      </c>
      <c r="F93" s="21" t="s">
        <v>145</v>
      </c>
      <c r="G93" s="21" t="s">
        <v>145</v>
      </c>
      <c r="H93" s="21" t="s">
        <v>145</v>
      </c>
      <c r="I93" s="21">
        <v>0</v>
      </c>
      <c r="J93" s="21" t="s">
        <v>145</v>
      </c>
      <c r="N93" s="69"/>
      <c r="O93" s="212"/>
      <c r="P93" s="212"/>
      <c r="Q93" s="69"/>
      <c r="R93" s="69"/>
    </row>
    <row r="94" spans="2:18">
      <c r="B94" s="3" t="s">
        <v>152</v>
      </c>
      <c r="C94" s="21" t="s">
        <v>145</v>
      </c>
      <c r="D94" s="21">
        <v>0</v>
      </c>
      <c r="E94" s="21">
        <v>0</v>
      </c>
      <c r="F94" s="21">
        <v>0</v>
      </c>
      <c r="G94" s="21">
        <v>0</v>
      </c>
      <c r="H94" s="21">
        <v>0</v>
      </c>
      <c r="I94" s="21">
        <v>0</v>
      </c>
      <c r="J94" s="21">
        <v>0</v>
      </c>
      <c r="N94" s="69"/>
      <c r="O94" s="212"/>
      <c r="P94" s="212"/>
      <c r="Q94" s="69"/>
      <c r="R94" s="69"/>
    </row>
    <row r="95" spans="2:18">
      <c r="B95" s="3" t="s">
        <v>153</v>
      </c>
      <c r="C95" s="3" t="s">
        <v>145</v>
      </c>
      <c r="D95" s="3">
        <v>0</v>
      </c>
      <c r="E95" s="3">
        <v>0</v>
      </c>
      <c r="F95" s="3">
        <v>0</v>
      </c>
      <c r="G95" s="3">
        <v>0</v>
      </c>
      <c r="H95" s="3">
        <v>0</v>
      </c>
      <c r="I95" s="3">
        <v>0</v>
      </c>
      <c r="J95" s="3">
        <v>0</v>
      </c>
      <c r="N95" s="69"/>
      <c r="O95" s="212"/>
      <c r="P95" s="212"/>
      <c r="Q95" s="69"/>
      <c r="R95" s="69"/>
    </row>
    <row r="96" spans="2:18">
      <c r="B96" s="3" t="s">
        <v>154</v>
      </c>
      <c r="C96" s="21" t="s">
        <v>145</v>
      </c>
      <c r="D96" s="21">
        <v>44</v>
      </c>
      <c r="E96" s="21">
        <v>69</v>
      </c>
      <c r="F96" s="21">
        <v>59</v>
      </c>
      <c r="G96" s="21">
        <v>55</v>
      </c>
      <c r="H96" s="21">
        <v>43</v>
      </c>
      <c r="I96" s="21">
        <v>65</v>
      </c>
      <c r="J96" s="21">
        <v>41</v>
      </c>
      <c r="N96" s="69"/>
      <c r="O96" s="212"/>
      <c r="P96" s="212"/>
      <c r="Q96" s="69"/>
      <c r="R96" s="69"/>
    </row>
    <row r="97" spans="2:18">
      <c r="B97" s="3" t="s">
        <v>155</v>
      </c>
      <c r="C97" s="21" t="s">
        <v>145</v>
      </c>
      <c r="D97" s="21">
        <v>46</v>
      </c>
      <c r="E97" s="21">
        <v>71</v>
      </c>
      <c r="F97" s="21">
        <v>61</v>
      </c>
      <c r="G97" s="21">
        <v>57</v>
      </c>
      <c r="H97" s="21">
        <v>44</v>
      </c>
      <c r="I97" s="21">
        <v>67</v>
      </c>
      <c r="J97" s="21">
        <v>43</v>
      </c>
      <c r="N97" s="69"/>
      <c r="O97" s="212"/>
      <c r="P97" s="212"/>
      <c r="Q97" s="69"/>
      <c r="R97" s="69"/>
    </row>
    <row r="98" spans="2:18">
      <c r="B98" s="3" t="s">
        <v>156</v>
      </c>
      <c r="C98" s="21">
        <v>50</v>
      </c>
      <c r="D98" s="21">
        <v>36</v>
      </c>
      <c r="E98" s="21">
        <v>58</v>
      </c>
      <c r="F98" s="21">
        <v>49</v>
      </c>
      <c r="G98" s="21">
        <v>44</v>
      </c>
      <c r="H98" s="21">
        <v>36</v>
      </c>
      <c r="I98" s="21">
        <v>54</v>
      </c>
      <c r="J98" s="21">
        <v>34</v>
      </c>
      <c r="N98" s="69"/>
      <c r="O98" s="212"/>
      <c r="P98" s="212"/>
      <c r="Q98" s="69"/>
      <c r="R98" s="69"/>
    </row>
    <row r="99" spans="2:18">
      <c r="B99" s="3" t="s">
        <v>157</v>
      </c>
      <c r="N99" s="69"/>
      <c r="O99" s="212"/>
      <c r="P99" s="212"/>
      <c r="Q99" s="69"/>
      <c r="R99" s="69"/>
    </row>
    <row r="100" spans="2:18">
      <c r="B100" s="3" t="s">
        <v>158</v>
      </c>
      <c r="N100" s="69"/>
      <c r="O100" s="212"/>
      <c r="P100" s="212"/>
      <c r="Q100" s="69"/>
      <c r="R100" s="69"/>
    </row>
    <row r="101" spans="2:18">
      <c r="N101" s="69"/>
      <c r="O101" s="212"/>
      <c r="P101" s="212"/>
      <c r="Q101" s="69"/>
      <c r="R101" s="69"/>
    </row>
    <row r="102" spans="2:18">
      <c r="N102" s="69"/>
      <c r="O102" s="212"/>
      <c r="P102" s="212"/>
      <c r="Q102" s="69"/>
      <c r="R102" s="69"/>
    </row>
    <row r="103" spans="2:18">
      <c r="N103" s="69"/>
      <c r="O103" s="212"/>
      <c r="P103" s="212"/>
      <c r="Q103" s="69"/>
      <c r="R103" s="69"/>
    </row>
    <row r="104" spans="2:18">
      <c r="N104" s="69"/>
      <c r="O104" s="212"/>
      <c r="P104" s="212"/>
      <c r="Q104" s="69"/>
      <c r="R104" s="69"/>
    </row>
    <row r="105" spans="2:18">
      <c r="N105" s="69"/>
      <c r="O105" s="212"/>
      <c r="P105" s="212"/>
      <c r="Q105" s="69"/>
      <c r="R105" s="69"/>
    </row>
    <row r="106" spans="2:18">
      <c r="N106" s="69"/>
      <c r="O106" s="212"/>
      <c r="P106" s="212"/>
      <c r="Q106" s="69"/>
      <c r="R106" s="70"/>
    </row>
    <row r="107" spans="2:18">
      <c r="N107" s="232"/>
      <c r="O107" s="233"/>
      <c r="P107" s="233"/>
    </row>
    <row r="108" spans="2:18" ht="17.25">
      <c r="N108" s="232"/>
      <c r="O108" s="71"/>
      <c r="P108" s="73"/>
    </row>
    <row r="109" spans="2:18">
      <c r="N109" s="69"/>
      <c r="O109" s="212"/>
      <c r="P109" s="212"/>
      <c r="Q109" s="69"/>
      <c r="R109" s="69"/>
    </row>
    <row r="110" spans="2:18">
      <c r="N110" s="69"/>
      <c r="O110" s="212"/>
      <c r="P110" s="212"/>
      <c r="Q110" s="69"/>
      <c r="R110" s="69"/>
    </row>
    <row r="111" spans="2:18">
      <c r="N111" s="69"/>
      <c r="O111" s="212"/>
      <c r="P111" s="212"/>
      <c r="Q111" s="69"/>
      <c r="R111" s="69"/>
    </row>
    <row r="112" spans="2:18">
      <c r="N112" s="69"/>
      <c r="O112" s="212"/>
      <c r="P112" s="212"/>
      <c r="Q112" s="69"/>
      <c r="R112" s="69"/>
    </row>
    <row r="113" spans="3:18">
      <c r="N113" s="69"/>
      <c r="O113" s="212"/>
      <c r="P113" s="212"/>
      <c r="Q113" s="69"/>
      <c r="R113" s="69"/>
    </row>
    <row r="114" spans="3:18">
      <c r="C114" s="21"/>
      <c r="D114" s="21"/>
      <c r="E114" s="21"/>
      <c r="F114" s="21"/>
      <c r="G114" s="21"/>
      <c r="H114" s="21"/>
      <c r="I114" s="21"/>
      <c r="J114" s="21"/>
      <c r="N114" s="69"/>
      <c r="O114" s="212"/>
      <c r="P114" s="212"/>
      <c r="Q114" s="69"/>
      <c r="R114" s="69"/>
    </row>
    <row r="115" spans="3:18">
      <c r="N115" s="69"/>
      <c r="O115" s="212"/>
      <c r="P115" s="212"/>
      <c r="Q115" s="69"/>
      <c r="R115" s="69"/>
    </row>
    <row r="116" spans="3:18">
      <c r="N116" s="69"/>
      <c r="O116" s="212"/>
      <c r="P116" s="212"/>
      <c r="Q116" s="69"/>
      <c r="R116" s="69"/>
    </row>
    <row r="117" spans="3:18">
      <c r="N117" s="69"/>
      <c r="O117" s="212"/>
      <c r="P117" s="212"/>
      <c r="Q117" s="69"/>
      <c r="R117" s="69"/>
    </row>
    <row r="118" spans="3:18">
      <c r="N118" s="69"/>
      <c r="O118" s="212"/>
      <c r="P118" s="212"/>
      <c r="Q118" s="69"/>
      <c r="R118" s="69"/>
    </row>
    <row r="119" spans="3:18">
      <c r="C119" s="21"/>
      <c r="D119" s="21"/>
      <c r="E119" s="21"/>
      <c r="F119" s="21"/>
      <c r="G119" s="21"/>
      <c r="H119" s="21"/>
      <c r="I119" s="21"/>
      <c r="J119" s="21"/>
      <c r="N119" s="69"/>
      <c r="O119" s="212"/>
      <c r="P119" s="212"/>
      <c r="Q119" s="69"/>
      <c r="R119" s="69"/>
    </row>
    <row r="120" spans="3:18">
      <c r="N120" s="69"/>
      <c r="O120" s="212"/>
      <c r="P120" s="212"/>
      <c r="Q120" s="69"/>
      <c r="R120" s="69"/>
    </row>
    <row r="121" spans="3:18">
      <c r="N121" s="69"/>
      <c r="O121" s="212"/>
      <c r="P121" s="212"/>
      <c r="Q121" s="69"/>
      <c r="R121" s="69"/>
    </row>
    <row r="122" spans="3:18">
      <c r="N122" s="69"/>
      <c r="O122" s="212"/>
      <c r="P122" s="212"/>
      <c r="Q122" s="69"/>
      <c r="R122" s="69"/>
    </row>
    <row r="123" spans="3:18">
      <c r="N123" s="69"/>
      <c r="O123" s="212"/>
      <c r="P123" s="212"/>
      <c r="Q123" s="69"/>
      <c r="R123" s="69"/>
    </row>
    <row r="124" spans="3:18">
      <c r="N124" s="69"/>
      <c r="O124" s="212"/>
      <c r="P124" s="212"/>
      <c r="Q124" s="69"/>
      <c r="R124" s="69"/>
    </row>
    <row r="125" spans="3:18">
      <c r="N125" s="69"/>
      <c r="O125" s="212"/>
      <c r="P125" s="212"/>
      <c r="Q125" s="69"/>
      <c r="R125" s="69"/>
    </row>
    <row r="126" spans="3:18">
      <c r="N126" s="69"/>
      <c r="O126" s="212"/>
      <c r="P126" s="212"/>
      <c r="Q126" s="69"/>
      <c r="R126" s="69"/>
    </row>
    <row r="127" spans="3:18">
      <c r="N127" s="69"/>
      <c r="O127" s="212"/>
      <c r="P127" s="212"/>
      <c r="Q127" s="69"/>
      <c r="R127" s="69"/>
    </row>
    <row r="128" spans="3:18">
      <c r="N128" s="69"/>
      <c r="O128" s="231"/>
      <c r="P128" s="231"/>
      <c r="Q128" s="70"/>
      <c r="R128" s="70"/>
    </row>
    <row r="181" spans="2:10">
      <c r="B181" s="3" t="s">
        <v>682</v>
      </c>
    </row>
    <row r="182" spans="2:10">
      <c r="B182" s="3" t="s">
        <v>65</v>
      </c>
    </row>
    <row r="183" spans="2:10">
      <c r="B183" s="3" t="s">
        <v>93</v>
      </c>
      <c r="C183" s="3" t="s">
        <v>680</v>
      </c>
      <c r="D183" s="3" t="s">
        <v>94</v>
      </c>
      <c r="E183" s="3" t="s">
        <v>95</v>
      </c>
      <c r="F183" s="3" t="s">
        <v>96</v>
      </c>
      <c r="G183" s="3" t="s">
        <v>97</v>
      </c>
      <c r="H183" s="3" t="s">
        <v>98</v>
      </c>
      <c r="I183" s="3" t="s">
        <v>99</v>
      </c>
      <c r="J183" s="3" t="s">
        <v>100</v>
      </c>
    </row>
    <row r="184" spans="2:10">
      <c r="B184" s="3" t="s">
        <v>227</v>
      </c>
      <c r="C184" s="21">
        <v>446</v>
      </c>
      <c r="D184" s="21">
        <v>415</v>
      </c>
      <c r="E184" s="21">
        <v>375</v>
      </c>
      <c r="F184" s="21">
        <v>307</v>
      </c>
      <c r="G184" s="21">
        <v>384</v>
      </c>
      <c r="H184" s="21">
        <v>379</v>
      </c>
      <c r="I184" s="21">
        <v>328</v>
      </c>
      <c r="J184" s="21">
        <v>255</v>
      </c>
    </row>
    <row r="185" spans="2:10">
      <c r="B185" s="3" t="s">
        <v>228</v>
      </c>
      <c r="C185" s="21">
        <v>20</v>
      </c>
      <c r="D185" s="21">
        <v>20</v>
      </c>
      <c r="E185" s="21">
        <v>20</v>
      </c>
      <c r="F185" s="21">
        <v>20</v>
      </c>
      <c r="G185" s="21">
        <v>20</v>
      </c>
      <c r="H185" s="21">
        <v>20</v>
      </c>
      <c r="I185" s="21">
        <v>20</v>
      </c>
      <c r="J185" s="21">
        <v>20</v>
      </c>
    </row>
    <row r="186" spans="2:10">
      <c r="B186" s="3" t="s">
        <v>265</v>
      </c>
      <c r="C186" s="21">
        <v>205</v>
      </c>
      <c r="D186" s="21">
        <v>189</v>
      </c>
      <c r="E186" s="21">
        <v>207</v>
      </c>
      <c r="F186" s="21">
        <v>172</v>
      </c>
      <c r="G186" s="21">
        <v>179</v>
      </c>
      <c r="H186" s="21">
        <v>164</v>
      </c>
      <c r="I186" s="21">
        <v>200</v>
      </c>
      <c r="J186" s="21">
        <v>166</v>
      </c>
    </row>
    <row r="187" spans="2:10">
      <c r="B187" s="3" t="s">
        <v>229</v>
      </c>
      <c r="C187" s="21">
        <v>0</v>
      </c>
      <c r="D187" s="21">
        <v>0</v>
      </c>
      <c r="E187" s="21">
        <v>0</v>
      </c>
      <c r="F187" s="21">
        <v>2</v>
      </c>
      <c r="G187" s="21">
        <v>1</v>
      </c>
      <c r="H187" s="21">
        <v>0</v>
      </c>
      <c r="I187" s="21">
        <v>2</v>
      </c>
      <c r="J187" s="21">
        <v>2</v>
      </c>
    </row>
    <row r="188" spans="2:10">
      <c r="B188" s="3" t="s">
        <v>266</v>
      </c>
      <c r="C188" s="21" t="s">
        <v>145</v>
      </c>
      <c r="D188" s="21">
        <v>0</v>
      </c>
      <c r="E188" s="21">
        <v>0</v>
      </c>
      <c r="F188" s="21">
        <v>0</v>
      </c>
      <c r="G188" s="21">
        <v>0</v>
      </c>
      <c r="H188" s="21">
        <v>0</v>
      </c>
      <c r="I188" s="21">
        <v>0</v>
      </c>
      <c r="J188" s="21">
        <v>0</v>
      </c>
    </row>
    <row r="189" spans="2:10">
      <c r="B189" s="3" t="s">
        <v>16</v>
      </c>
      <c r="C189" s="21">
        <v>50</v>
      </c>
      <c r="D189" s="21">
        <v>47</v>
      </c>
      <c r="E189" s="21">
        <v>49</v>
      </c>
      <c r="F189" s="21">
        <v>54</v>
      </c>
      <c r="G189" s="21">
        <v>58</v>
      </c>
      <c r="H189" s="21">
        <v>52</v>
      </c>
      <c r="I189" s="21">
        <v>43</v>
      </c>
      <c r="J189" s="21">
        <v>42</v>
      </c>
    </row>
    <row r="190" spans="2:10">
      <c r="B190" s="3" t="s">
        <v>267</v>
      </c>
      <c r="C190" s="21" t="s">
        <v>145</v>
      </c>
      <c r="D190" s="21" t="s">
        <v>145</v>
      </c>
      <c r="E190" s="21" t="s">
        <v>145</v>
      </c>
      <c r="F190" s="21" t="s">
        <v>145</v>
      </c>
      <c r="G190" s="21" t="s">
        <v>145</v>
      </c>
      <c r="H190" s="21" t="s">
        <v>145</v>
      </c>
      <c r="I190" s="21" t="s">
        <v>145</v>
      </c>
      <c r="J190" s="21" t="s">
        <v>145</v>
      </c>
    </row>
    <row r="191" spans="2:10">
      <c r="B191" s="3" t="s">
        <v>230</v>
      </c>
      <c r="C191" s="21">
        <v>12</v>
      </c>
      <c r="D191" s="21">
        <v>10</v>
      </c>
      <c r="E191" s="21">
        <v>8</v>
      </c>
      <c r="F191" s="21">
        <v>9</v>
      </c>
      <c r="G191" s="21">
        <v>7</v>
      </c>
      <c r="H191" s="21">
        <v>14</v>
      </c>
      <c r="I191" s="21">
        <v>8</v>
      </c>
      <c r="J191" s="21">
        <v>8</v>
      </c>
    </row>
    <row r="192" spans="2:10">
      <c r="B192" s="3" t="s">
        <v>231</v>
      </c>
      <c r="C192" s="21">
        <v>3</v>
      </c>
      <c r="D192" s="21">
        <v>2</v>
      </c>
      <c r="E192" s="21">
        <v>2</v>
      </c>
      <c r="F192" s="21">
        <v>1</v>
      </c>
      <c r="G192" s="21">
        <v>1</v>
      </c>
      <c r="H192" s="21">
        <v>2</v>
      </c>
      <c r="I192" s="21">
        <v>0</v>
      </c>
      <c r="J192" s="21">
        <v>0</v>
      </c>
    </row>
    <row r="193" spans="2:10">
      <c r="B193" s="3" t="s">
        <v>232</v>
      </c>
      <c r="C193" s="21">
        <v>736</v>
      </c>
      <c r="D193" s="21">
        <v>683</v>
      </c>
      <c r="E193" s="21">
        <v>660</v>
      </c>
      <c r="F193" s="21">
        <v>565</v>
      </c>
      <c r="G193" s="21">
        <v>651</v>
      </c>
      <c r="H193" s="21">
        <v>630</v>
      </c>
      <c r="I193" s="21">
        <v>600</v>
      </c>
      <c r="J193" s="21">
        <v>495</v>
      </c>
    </row>
    <row r="194" spans="2:10">
      <c r="B194" s="3" t="s">
        <v>233</v>
      </c>
      <c r="C194" s="21">
        <v>18</v>
      </c>
      <c r="D194" s="21">
        <v>18</v>
      </c>
      <c r="E194" s="21">
        <v>19</v>
      </c>
      <c r="F194" s="21">
        <v>34</v>
      </c>
      <c r="G194" s="21">
        <v>34</v>
      </c>
      <c r="H194" s="21">
        <v>15</v>
      </c>
      <c r="I194" s="21">
        <v>28</v>
      </c>
      <c r="J194" s="21">
        <v>28</v>
      </c>
    </row>
    <row r="195" spans="2:10">
      <c r="B195" s="3" t="s">
        <v>234</v>
      </c>
      <c r="C195" s="21" t="s">
        <v>145</v>
      </c>
      <c r="D195" s="21">
        <v>152</v>
      </c>
      <c r="E195" s="21">
        <v>152</v>
      </c>
      <c r="F195" s="21">
        <v>143</v>
      </c>
      <c r="G195" s="21">
        <v>143</v>
      </c>
      <c r="H195" s="21">
        <v>149</v>
      </c>
      <c r="I195" s="21">
        <v>142</v>
      </c>
      <c r="J195" s="21">
        <v>142</v>
      </c>
    </row>
    <row r="196" spans="2:10">
      <c r="B196" s="3" t="s">
        <v>235</v>
      </c>
      <c r="C196" s="21" t="s">
        <v>145</v>
      </c>
      <c r="D196" s="21">
        <v>68</v>
      </c>
      <c r="E196" s="21">
        <v>66</v>
      </c>
      <c r="F196" s="21">
        <v>57</v>
      </c>
      <c r="G196" s="21">
        <v>57</v>
      </c>
      <c r="H196" s="21">
        <v>71</v>
      </c>
      <c r="I196" s="21">
        <v>63</v>
      </c>
      <c r="J196" s="21">
        <v>62</v>
      </c>
    </row>
    <row r="197" spans="2:10">
      <c r="B197" s="3" t="s">
        <v>236</v>
      </c>
      <c r="C197" s="21" t="s">
        <v>145</v>
      </c>
      <c r="D197" s="21">
        <v>0</v>
      </c>
      <c r="E197" s="21">
        <v>0</v>
      </c>
      <c r="F197" s="21">
        <v>0</v>
      </c>
      <c r="G197" s="21">
        <v>0</v>
      </c>
      <c r="H197" s="21">
        <v>0</v>
      </c>
      <c r="I197" s="21">
        <v>0</v>
      </c>
      <c r="J197" s="21">
        <v>0</v>
      </c>
    </row>
    <row r="198" spans="2:10">
      <c r="B198" s="3" t="s">
        <v>237</v>
      </c>
      <c r="C198" s="21" t="s">
        <v>145</v>
      </c>
      <c r="D198" s="21">
        <v>20</v>
      </c>
      <c r="E198" s="21">
        <v>19</v>
      </c>
      <c r="F198" s="21">
        <v>19</v>
      </c>
      <c r="G198" s="21">
        <v>19</v>
      </c>
      <c r="H198" s="21">
        <v>18</v>
      </c>
      <c r="I198" s="21">
        <v>17</v>
      </c>
      <c r="J198" s="21">
        <v>17</v>
      </c>
    </row>
    <row r="199" spans="2:10">
      <c r="B199" s="3" t="s">
        <v>238</v>
      </c>
      <c r="C199" s="21" t="s">
        <v>145</v>
      </c>
      <c r="D199" s="21">
        <v>0</v>
      </c>
      <c r="E199" s="21">
        <v>0</v>
      </c>
      <c r="F199" s="21">
        <v>0</v>
      </c>
      <c r="G199" s="21">
        <v>0</v>
      </c>
      <c r="H199" s="21">
        <v>0</v>
      </c>
      <c r="I199" s="21">
        <v>0</v>
      </c>
      <c r="J199" s="21">
        <v>0</v>
      </c>
    </row>
    <row r="200" spans="2:10">
      <c r="B200" s="3" t="s">
        <v>239</v>
      </c>
      <c r="C200" s="21" t="s">
        <v>145</v>
      </c>
      <c r="D200" s="21">
        <v>-25</v>
      </c>
      <c r="E200" s="21">
        <v>-24</v>
      </c>
      <c r="F200" s="21">
        <v>-22</v>
      </c>
      <c r="G200" s="21">
        <v>-20</v>
      </c>
      <c r="H200" s="21">
        <v>-20</v>
      </c>
      <c r="I200" s="21">
        <v>-19</v>
      </c>
      <c r="J200" s="21">
        <v>-18</v>
      </c>
    </row>
    <row r="201" spans="2:10">
      <c r="B201" s="3" t="s">
        <v>240</v>
      </c>
      <c r="C201" s="21" t="s">
        <v>145</v>
      </c>
      <c r="D201" s="21">
        <v>0</v>
      </c>
      <c r="E201" s="21">
        <v>0</v>
      </c>
      <c r="F201" s="21">
        <v>0</v>
      </c>
      <c r="G201" s="21">
        <v>0</v>
      </c>
      <c r="H201" s="21">
        <v>0</v>
      </c>
      <c r="I201" s="21">
        <v>0</v>
      </c>
      <c r="J201" s="21">
        <v>0</v>
      </c>
    </row>
    <row r="202" spans="2:10">
      <c r="B202" s="3" t="s">
        <v>241</v>
      </c>
      <c r="C202" s="21" t="s">
        <v>145</v>
      </c>
      <c r="D202" s="21">
        <v>0</v>
      </c>
      <c r="E202" s="21">
        <v>0</v>
      </c>
      <c r="F202" s="21">
        <v>0</v>
      </c>
      <c r="G202" s="21">
        <v>0</v>
      </c>
      <c r="H202" s="21">
        <v>0</v>
      </c>
      <c r="I202" s="21">
        <v>0</v>
      </c>
      <c r="J202" s="21">
        <v>0</v>
      </c>
    </row>
    <row r="203" spans="2:10">
      <c r="B203" s="3" t="s">
        <v>242</v>
      </c>
      <c r="C203" s="21">
        <v>213</v>
      </c>
      <c r="D203" s="21">
        <v>215</v>
      </c>
      <c r="E203" s="21">
        <v>213</v>
      </c>
      <c r="F203" s="21">
        <v>197</v>
      </c>
      <c r="G203" s="21">
        <v>199</v>
      </c>
      <c r="H203" s="21">
        <v>218</v>
      </c>
      <c r="I203" s="21">
        <v>203</v>
      </c>
      <c r="J203" s="21">
        <v>204</v>
      </c>
    </row>
    <row r="204" spans="2:10">
      <c r="B204" s="3" t="s">
        <v>243</v>
      </c>
      <c r="C204" s="21">
        <v>3</v>
      </c>
      <c r="D204" s="21">
        <v>3</v>
      </c>
      <c r="E204" s="21">
        <v>3</v>
      </c>
      <c r="F204" s="21">
        <v>3</v>
      </c>
      <c r="G204" s="21">
        <v>2</v>
      </c>
      <c r="H204" s="21">
        <v>2</v>
      </c>
      <c r="I204" s="21">
        <v>2</v>
      </c>
      <c r="J204" s="21">
        <v>2</v>
      </c>
    </row>
    <row r="205" spans="2:10">
      <c r="B205" s="3" t="s">
        <v>244</v>
      </c>
      <c r="C205" s="21">
        <v>2</v>
      </c>
      <c r="D205" s="21">
        <v>1</v>
      </c>
      <c r="E205" s="21">
        <v>2</v>
      </c>
      <c r="F205" s="21">
        <v>1</v>
      </c>
      <c r="G205" s="21">
        <v>1</v>
      </c>
      <c r="H205" s="21">
        <v>1</v>
      </c>
      <c r="I205" s="21">
        <v>1</v>
      </c>
      <c r="J205" s="21">
        <v>0</v>
      </c>
    </row>
    <row r="206" spans="2:10">
      <c r="B206" s="3" t="s">
        <v>245</v>
      </c>
      <c r="C206" s="21">
        <v>18</v>
      </c>
      <c r="D206" s="21">
        <v>15</v>
      </c>
      <c r="E206" s="21">
        <v>18</v>
      </c>
      <c r="F206" s="21">
        <v>8</v>
      </c>
      <c r="G206" s="21">
        <v>8</v>
      </c>
      <c r="H206" s="21">
        <v>7</v>
      </c>
      <c r="I206" s="21">
        <v>8</v>
      </c>
      <c r="J206" s="21">
        <v>4</v>
      </c>
    </row>
    <row r="207" spans="2:10">
      <c r="B207" s="3" t="s">
        <v>246</v>
      </c>
      <c r="C207" s="21">
        <v>22</v>
      </c>
      <c r="D207" s="21">
        <v>19</v>
      </c>
      <c r="E207" s="21">
        <v>22</v>
      </c>
      <c r="F207" s="21">
        <v>11</v>
      </c>
      <c r="G207" s="21">
        <v>11</v>
      </c>
      <c r="H207" s="21">
        <v>10</v>
      </c>
      <c r="I207" s="21">
        <v>11</v>
      </c>
      <c r="J207" s="21">
        <v>7</v>
      </c>
    </row>
    <row r="208" spans="2:10">
      <c r="B208" s="3" t="s">
        <v>19</v>
      </c>
      <c r="C208" s="21">
        <v>989</v>
      </c>
      <c r="D208" s="21">
        <v>936</v>
      </c>
      <c r="E208" s="21">
        <v>914</v>
      </c>
      <c r="F208" s="21">
        <v>807</v>
      </c>
      <c r="G208" s="21">
        <v>894</v>
      </c>
      <c r="H208" s="21">
        <v>873</v>
      </c>
      <c r="I208" s="21">
        <v>843</v>
      </c>
      <c r="J208" s="21">
        <v>733</v>
      </c>
    </row>
    <row r="209" spans="2:10">
      <c r="B209" s="3" t="s">
        <v>268</v>
      </c>
      <c r="C209" s="21">
        <v>0</v>
      </c>
      <c r="D209" s="21">
        <v>0</v>
      </c>
      <c r="E209" s="21">
        <v>0</v>
      </c>
      <c r="F209" s="21">
        <v>0</v>
      </c>
      <c r="G209" s="21">
        <v>0</v>
      </c>
      <c r="H209" s="21">
        <v>0</v>
      </c>
      <c r="I209" s="21">
        <v>0</v>
      </c>
      <c r="J209" s="21">
        <v>0</v>
      </c>
    </row>
    <row r="210" spans="2:10">
      <c r="B210" s="3" t="s">
        <v>269</v>
      </c>
      <c r="C210" s="21">
        <v>0</v>
      </c>
      <c r="D210" s="21">
        <v>0</v>
      </c>
      <c r="E210" s="21">
        <v>0</v>
      </c>
      <c r="F210" s="21">
        <v>0</v>
      </c>
      <c r="G210" s="21">
        <v>0</v>
      </c>
      <c r="H210" s="21">
        <v>0</v>
      </c>
      <c r="I210" s="21">
        <v>0</v>
      </c>
      <c r="J210" s="21">
        <v>0</v>
      </c>
    </row>
    <row r="211" spans="2:10">
      <c r="B211" s="3" t="s">
        <v>17</v>
      </c>
      <c r="C211" s="21">
        <v>56</v>
      </c>
      <c r="D211" s="21">
        <v>55</v>
      </c>
      <c r="E211" s="21">
        <v>68</v>
      </c>
      <c r="F211" s="21">
        <v>50</v>
      </c>
      <c r="G211" s="21">
        <v>42</v>
      </c>
      <c r="H211" s="21">
        <v>48</v>
      </c>
      <c r="I211" s="21">
        <v>56</v>
      </c>
      <c r="J211" s="21">
        <v>35</v>
      </c>
    </row>
    <row r="212" spans="2:10">
      <c r="B212" s="3" t="s">
        <v>247</v>
      </c>
      <c r="C212" s="21" t="s">
        <v>145</v>
      </c>
      <c r="D212" s="21">
        <v>28</v>
      </c>
      <c r="E212" s="21">
        <v>37</v>
      </c>
      <c r="F212" s="21">
        <v>31</v>
      </c>
      <c r="G212" s="21">
        <v>29</v>
      </c>
      <c r="H212" s="21">
        <v>20</v>
      </c>
      <c r="I212" s="21">
        <v>31</v>
      </c>
      <c r="J212" s="21">
        <v>18</v>
      </c>
    </row>
    <row r="213" spans="2:10">
      <c r="B213" s="3" t="s">
        <v>248</v>
      </c>
      <c r="C213" s="21">
        <v>26</v>
      </c>
      <c r="D213" s="21">
        <v>23</v>
      </c>
      <c r="E213" s="21">
        <v>24</v>
      </c>
      <c r="F213" s="21">
        <v>0</v>
      </c>
      <c r="G213" s="21">
        <v>0</v>
      </c>
      <c r="H213" s="21">
        <v>28</v>
      </c>
      <c r="I213" s="21">
        <v>25</v>
      </c>
      <c r="J213" s="21">
        <v>0</v>
      </c>
    </row>
    <row r="214" spans="2:10">
      <c r="B214" s="3" t="s">
        <v>249</v>
      </c>
      <c r="C214" s="21">
        <v>189</v>
      </c>
      <c r="D214" s="21">
        <v>14</v>
      </c>
      <c r="E214" s="21">
        <v>14</v>
      </c>
      <c r="F214" s="21">
        <v>11</v>
      </c>
      <c r="G214" s="21">
        <v>142</v>
      </c>
      <c r="H214" s="21">
        <v>14</v>
      </c>
      <c r="I214" s="21">
        <v>14</v>
      </c>
      <c r="J214" s="21">
        <v>11</v>
      </c>
    </row>
    <row r="215" spans="2:10">
      <c r="B215" s="3" t="s">
        <v>250</v>
      </c>
      <c r="C215" s="21">
        <v>21</v>
      </c>
      <c r="D215" s="21">
        <v>30</v>
      </c>
      <c r="E215" s="21">
        <v>24</v>
      </c>
      <c r="F215" s="21">
        <v>12</v>
      </c>
      <c r="G215" s="21">
        <v>18</v>
      </c>
      <c r="H215" s="21">
        <v>29</v>
      </c>
      <c r="I215" s="21">
        <v>22</v>
      </c>
      <c r="J215" s="21">
        <v>10</v>
      </c>
    </row>
    <row r="216" spans="2:10">
      <c r="B216" s="3" t="s">
        <v>251</v>
      </c>
      <c r="C216" s="21">
        <v>0</v>
      </c>
      <c r="D216" s="21">
        <v>0</v>
      </c>
      <c r="E216" s="21">
        <v>0</v>
      </c>
      <c r="F216" s="21">
        <v>0</v>
      </c>
      <c r="G216" s="21">
        <v>0</v>
      </c>
      <c r="H216" s="21">
        <v>0</v>
      </c>
      <c r="I216" s="21">
        <v>0</v>
      </c>
      <c r="J216" s="21">
        <v>0</v>
      </c>
    </row>
    <row r="217" spans="2:10">
      <c r="B217" s="3" t="s">
        <v>252</v>
      </c>
      <c r="C217" s="21">
        <v>2</v>
      </c>
      <c r="D217" s="21">
        <v>1</v>
      </c>
      <c r="E217" s="21">
        <v>1</v>
      </c>
      <c r="F217" s="21">
        <v>16</v>
      </c>
      <c r="G217" s="21">
        <v>23</v>
      </c>
      <c r="H217" s="21">
        <v>2</v>
      </c>
      <c r="I217" s="21">
        <v>1</v>
      </c>
      <c r="J217" s="21">
        <v>21</v>
      </c>
    </row>
    <row r="218" spans="2:10">
      <c r="B218" s="3" t="s">
        <v>253</v>
      </c>
      <c r="C218" s="21">
        <v>294</v>
      </c>
      <c r="D218" s="21">
        <v>152</v>
      </c>
      <c r="E218" s="21">
        <v>168</v>
      </c>
      <c r="F218" s="21">
        <v>120</v>
      </c>
      <c r="G218" s="21">
        <v>254</v>
      </c>
      <c r="H218" s="21">
        <v>140</v>
      </c>
      <c r="I218" s="21">
        <v>149</v>
      </c>
      <c r="J218" s="21">
        <v>96</v>
      </c>
    </row>
    <row r="219" spans="2:10">
      <c r="B219" s="3" t="s">
        <v>254</v>
      </c>
      <c r="C219" s="21">
        <v>0</v>
      </c>
      <c r="D219" s="21">
        <v>0</v>
      </c>
      <c r="E219" s="21">
        <v>0</v>
      </c>
      <c r="F219" s="21">
        <v>0</v>
      </c>
      <c r="G219" s="21">
        <v>0</v>
      </c>
      <c r="H219" s="21">
        <v>7</v>
      </c>
      <c r="I219" s="21">
        <v>2</v>
      </c>
      <c r="J219" s="21">
        <v>0</v>
      </c>
    </row>
    <row r="220" spans="2:10">
      <c r="B220" s="3" t="s">
        <v>255</v>
      </c>
      <c r="C220" s="21">
        <v>0</v>
      </c>
      <c r="D220" s="3">
        <v>0</v>
      </c>
      <c r="E220" s="21">
        <v>0</v>
      </c>
      <c r="F220" s="3">
        <v>0</v>
      </c>
      <c r="G220" s="21">
        <v>0</v>
      </c>
      <c r="H220" s="21">
        <v>0</v>
      </c>
      <c r="I220" s="21">
        <v>0</v>
      </c>
      <c r="J220" s="21">
        <v>0</v>
      </c>
    </row>
    <row r="221" spans="2:10">
      <c r="B221" s="3" t="s">
        <v>256</v>
      </c>
      <c r="C221" s="21">
        <v>10</v>
      </c>
      <c r="D221" s="21">
        <v>10</v>
      </c>
      <c r="E221" s="21">
        <v>10</v>
      </c>
      <c r="F221" s="21">
        <v>0</v>
      </c>
      <c r="G221" s="21">
        <v>0</v>
      </c>
      <c r="H221" s="21">
        <v>11</v>
      </c>
      <c r="I221" s="21">
        <v>11</v>
      </c>
      <c r="J221" s="21">
        <v>0</v>
      </c>
    </row>
    <row r="222" spans="2:10">
      <c r="B222" s="3" t="s">
        <v>257</v>
      </c>
      <c r="C222" s="21">
        <v>4</v>
      </c>
      <c r="D222" s="21">
        <v>4</v>
      </c>
      <c r="E222" s="21">
        <v>4</v>
      </c>
      <c r="F222" s="21">
        <v>4</v>
      </c>
      <c r="G222" s="21">
        <v>4</v>
      </c>
      <c r="H222" s="21">
        <v>3</v>
      </c>
      <c r="I222" s="21">
        <v>3</v>
      </c>
      <c r="J222" s="21">
        <v>4</v>
      </c>
    </row>
    <row r="223" spans="2:10">
      <c r="B223" s="3" t="s">
        <v>258</v>
      </c>
      <c r="C223" s="21">
        <v>0</v>
      </c>
      <c r="D223" s="21">
        <v>0</v>
      </c>
      <c r="E223" s="21">
        <v>0</v>
      </c>
      <c r="F223" s="21">
        <v>0</v>
      </c>
      <c r="G223" s="21">
        <v>0</v>
      </c>
      <c r="H223" s="21">
        <v>0</v>
      </c>
      <c r="I223" s="21">
        <v>0</v>
      </c>
      <c r="J223" s="21">
        <v>0</v>
      </c>
    </row>
    <row r="224" spans="2:10">
      <c r="B224" s="3" t="s">
        <v>259</v>
      </c>
      <c r="C224" s="21">
        <v>0</v>
      </c>
      <c r="D224" s="21">
        <v>0</v>
      </c>
      <c r="E224" s="21">
        <v>0</v>
      </c>
      <c r="F224" s="21">
        <v>0</v>
      </c>
      <c r="G224" s="21">
        <v>0</v>
      </c>
      <c r="H224" s="21">
        <v>0</v>
      </c>
      <c r="I224" s="21">
        <v>0</v>
      </c>
      <c r="J224" s="21">
        <v>0</v>
      </c>
    </row>
    <row r="225" spans="2:10">
      <c r="B225" s="3" t="s">
        <v>260</v>
      </c>
      <c r="C225" s="21">
        <v>16</v>
      </c>
      <c r="D225" s="21">
        <v>13</v>
      </c>
      <c r="E225" s="21">
        <v>12</v>
      </c>
      <c r="F225" s="21">
        <v>21</v>
      </c>
      <c r="G225" s="21">
        <v>24</v>
      </c>
      <c r="H225" s="21">
        <v>15</v>
      </c>
      <c r="I225" s="21">
        <v>16</v>
      </c>
      <c r="J225" s="21">
        <v>27</v>
      </c>
    </row>
    <row r="226" spans="2:10">
      <c r="B226" s="3" t="s">
        <v>261</v>
      </c>
      <c r="C226" s="21">
        <v>29</v>
      </c>
      <c r="D226" s="21">
        <v>27</v>
      </c>
      <c r="E226" s="21">
        <v>26</v>
      </c>
      <c r="F226" s="21">
        <v>25</v>
      </c>
      <c r="G226" s="21">
        <v>28</v>
      </c>
      <c r="H226" s="21">
        <v>29</v>
      </c>
      <c r="I226" s="21">
        <v>30</v>
      </c>
      <c r="J226" s="21">
        <v>31</v>
      </c>
    </row>
    <row r="227" spans="2:10">
      <c r="B227" s="3" t="s">
        <v>18</v>
      </c>
      <c r="C227" s="21">
        <v>324</v>
      </c>
      <c r="D227" s="21">
        <v>179</v>
      </c>
      <c r="E227" s="21">
        <v>193</v>
      </c>
      <c r="F227" s="21">
        <v>145</v>
      </c>
      <c r="G227" s="21">
        <v>282</v>
      </c>
      <c r="H227" s="21">
        <v>176</v>
      </c>
      <c r="I227" s="21">
        <v>181</v>
      </c>
      <c r="J227" s="21">
        <v>126</v>
      </c>
    </row>
    <row r="228" spans="2:10">
      <c r="B228" s="3" t="s">
        <v>262</v>
      </c>
      <c r="C228" s="21">
        <v>665</v>
      </c>
      <c r="D228" s="21">
        <v>757</v>
      </c>
      <c r="E228" s="21">
        <v>721</v>
      </c>
      <c r="F228" s="21">
        <v>662</v>
      </c>
      <c r="G228" s="21">
        <v>612</v>
      </c>
      <c r="H228" s="21">
        <v>697</v>
      </c>
      <c r="I228" s="21">
        <v>662</v>
      </c>
      <c r="J228" s="21">
        <v>607</v>
      </c>
    </row>
    <row r="229" spans="2:10">
      <c r="B229" s="3" t="s">
        <v>270</v>
      </c>
      <c r="C229" s="21">
        <v>256</v>
      </c>
      <c r="D229" s="21">
        <v>256</v>
      </c>
      <c r="E229" s="21">
        <v>256</v>
      </c>
      <c r="F229" s="21">
        <v>256</v>
      </c>
      <c r="G229" s="21">
        <v>256</v>
      </c>
      <c r="H229" s="21">
        <v>256</v>
      </c>
      <c r="I229" s="21">
        <v>256</v>
      </c>
      <c r="J229" s="21">
        <v>256</v>
      </c>
    </row>
    <row r="230" spans="2:10">
      <c r="B230" s="3" t="s">
        <v>271</v>
      </c>
      <c r="C230" s="21">
        <v>0</v>
      </c>
      <c r="D230" s="21">
        <v>0</v>
      </c>
      <c r="E230" s="21">
        <v>0</v>
      </c>
      <c r="F230" s="21">
        <v>0</v>
      </c>
      <c r="G230" s="21">
        <v>0</v>
      </c>
      <c r="H230" s="21">
        <v>0</v>
      </c>
      <c r="I230" s="21">
        <v>0</v>
      </c>
      <c r="J230" s="21">
        <v>0</v>
      </c>
    </row>
    <row r="231" spans="2:10">
      <c r="B231" s="3" t="s">
        <v>272</v>
      </c>
      <c r="C231" s="21">
        <v>133</v>
      </c>
      <c r="D231" s="21">
        <v>133</v>
      </c>
      <c r="E231" s="21">
        <v>133</v>
      </c>
      <c r="F231" s="21">
        <v>133</v>
      </c>
      <c r="G231" s="21">
        <v>133</v>
      </c>
      <c r="H231" s="21">
        <v>133</v>
      </c>
      <c r="I231" s="21">
        <v>133</v>
      </c>
      <c r="J231" s="21">
        <v>133</v>
      </c>
    </row>
    <row r="232" spans="2:10">
      <c r="B232" s="3" t="s">
        <v>273</v>
      </c>
      <c r="C232" s="21">
        <v>89</v>
      </c>
      <c r="D232" s="21">
        <v>70</v>
      </c>
      <c r="E232" s="21">
        <v>70</v>
      </c>
      <c r="F232" s="21">
        <v>70</v>
      </c>
      <c r="G232" s="21">
        <v>70</v>
      </c>
      <c r="H232" s="21">
        <v>54</v>
      </c>
      <c r="I232" s="21">
        <v>54</v>
      </c>
      <c r="J232" s="21">
        <v>54</v>
      </c>
    </row>
    <row r="233" spans="2:10">
      <c r="B233" s="3" t="s">
        <v>274</v>
      </c>
      <c r="C233" s="21">
        <v>0</v>
      </c>
      <c r="D233" s="21">
        <v>0</v>
      </c>
      <c r="E233" s="21">
        <v>0</v>
      </c>
      <c r="F233" s="21">
        <v>0</v>
      </c>
      <c r="G233" s="21">
        <v>0</v>
      </c>
      <c r="H233" s="21">
        <v>0</v>
      </c>
      <c r="I233" s="21">
        <v>0</v>
      </c>
      <c r="J233" s="21">
        <v>0</v>
      </c>
    </row>
    <row r="234" spans="2:10">
      <c r="B234" s="3" t="s">
        <v>275</v>
      </c>
      <c r="C234" s="21">
        <v>185</v>
      </c>
      <c r="D234" s="21">
        <v>295</v>
      </c>
      <c r="E234" s="21">
        <v>258</v>
      </c>
      <c r="F234" s="21">
        <v>200</v>
      </c>
      <c r="G234" s="21">
        <v>151</v>
      </c>
      <c r="H234" s="21">
        <v>252</v>
      </c>
      <c r="I234" s="21">
        <v>216</v>
      </c>
      <c r="J234" s="21">
        <v>162</v>
      </c>
    </row>
    <row r="235" spans="2:10">
      <c r="B235" s="3" t="s">
        <v>276</v>
      </c>
      <c r="C235" s="21">
        <v>0</v>
      </c>
      <c r="D235" s="21">
        <v>0</v>
      </c>
      <c r="E235" s="21">
        <v>0</v>
      </c>
      <c r="F235" s="21">
        <v>0</v>
      </c>
      <c r="G235" s="21">
        <v>0</v>
      </c>
      <c r="H235" s="21">
        <v>0</v>
      </c>
      <c r="I235" s="21">
        <v>0</v>
      </c>
      <c r="J235" s="21">
        <v>0</v>
      </c>
    </row>
    <row r="236" spans="2:10">
      <c r="B236" s="3" t="s">
        <v>263</v>
      </c>
      <c r="C236" s="21">
        <v>0</v>
      </c>
      <c r="D236" s="21">
        <v>0</v>
      </c>
      <c r="E236" s="21">
        <v>0</v>
      </c>
      <c r="F236" s="21">
        <v>0</v>
      </c>
      <c r="G236" s="21">
        <v>0</v>
      </c>
      <c r="H236" s="21">
        <v>0</v>
      </c>
      <c r="I236" s="21">
        <v>0</v>
      </c>
      <c r="J236" s="21">
        <v>0</v>
      </c>
    </row>
    <row r="237" spans="2:10">
      <c r="B237" s="3" t="s">
        <v>264</v>
      </c>
      <c r="C237" s="21">
        <v>989</v>
      </c>
      <c r="D237" s="21">
        <v>936</v>
      </c>
      <c r="E237" s="21">
        <v>914</v>
      </c>
      <c r="F237" s="21">
        <v>807</v>
      </c>
      <c r="G237" s="21">
        <v>894</v>
      </c>
      <c r="H237" s="21">
        <v>873</v>
      </c>
      <c r="I237" s="21">
        <v>843</v>
      </c>
      <c r="J237" s="21">
        <v>733</v>
      </c>
    </row>
    <row r="238" spans="2:10">
      <c r="B238" s="3" t="s">
        <v>157</v>
      </c>
      <c r="C238" s="21"/>
      <c r="D238" s="21"/>
      <c r="F238" s="21"/>
      <c r="G238" s="21"/>
      <c r="H238" s="21"/>
      <c r="I238" s="21"/>
      <c r="J238" s="21"/>
    </row>
    <row r="239" spans="2:10">
      <c r="B239" s="3" t="s">
        <v>158</v>
      </c>
      <c r="H239" s="21"/>
      <c r="I239" s="21"/>
      <c r="J239" s="21"/>
    </row>
    <row r="240" spans="2:10">
      <c r="C240" s="21"/>
      <c r="D240" s="21"/>
      <c r="E240" s="21"/>
      <c r="F240" s="21"/>
      <c r="G240" s="21"/>
      <c r="H240" s="21"/>
      <c r="I240" s="21"/>
      <c r="J240" s="21"/>
    </row>
    <row r="241" spans="3:10">
      <c r="C241" s="21"/>
      <c r="D241" s="21"/>
      <c r="E241" s="21"/>
      <c r="F241" s="21"/>
      <c r="G241" s="21"/>
      <c r="H241" s="21"/>
      <c r="I241" s="21"/>
      <c r="J241" s="21"/>
    </row>
    <row r="242" spans="3:10">
      <c r="C242" s="21"/>
      <c r="D242" s="21"/>
      <c r="E242" s="21"/>
      <c r="F242" s="21"/>
      <c r="G242" s="21"/>
      <c r="H242" s="21"/>
      <c r="I242" s="21"/>
      <c r="J242" s="21"/>
    </row>
    <row r="252" spans="3:10">
      <c r="C252" s="21"/>
      <c r="D252" s="21"/>
      <c r="E252" s="21"/>
      <c r="F252" s="21"/>
      <c r="G252" s="21"/>
      <c r="H252" s="21"/>
      <c r="I252" s="21"/>
      <c r="J252" s="21"/>
    </row>
    <row r="254" spans="3:10">
      <c r="C254" s="21"/>
      <c r="D254" s="21"/>
      <c r="E254" s="21"/>
      <c r="F254" s="21"/>
      <c r="G254" s="21"/>
      <c r="H254" s="21"/>
      <c r="I254" s="21"/>
      <c r="J254" s="21"/>
    </row>
    <row r="301" spans="2:10">
      <c r="B301" s="3" t="s">
        <v>681</v>
      </c>
    </row>
    <row r="302" spans="2:10">
      <c r="B302" s="3" t="s">
        <v>65</v>
      </c>
    </row>
    <row r="303" spans="2:10">
      <c r="B303" s="3" t="s">
        <v>93</v>
      </c>
      <c r="C303" s="3" t="s">
        <v>680</v>
      </c>
      <c r="D303" s="3" t="s">
        <v>94</v>
      </c>
      <c r="E303" s="3" t="s">
        <v>95</v>
      </c>
      <c r="F303" s="3" t="s">
        <v>96</v>
      </c>
      <c r="G303" s="3" t="s">
        <v>97</v>
      </c>
      <c r="H303" s="3" t="s">
        <v>98</v>
      </c>
      <c r="I303" s="3" t="s">
        <v>99</v>
      </c>
      <c r="J303" s="3" t="s">
        <v>100</v>
      </c>
    </row>
    <row r="304" spans="2:10">
      <c r="B304" s="3" t="s">
        <v>159</v>
      </c>
      <c r="C304" s="21">
        <v>50</v>
      </c>
      <c r="D304" s="21">
        <v>36</v>
      </c>
      <c r="E304" s="21">
        <v>58</v>
      </c>
      <c r="F304" s="21">
        <v>49</v>
      </c>
      <c r="G304" s="21">
        <v>44</v>
      </c>
      <c r="H304" s="21">
        <v>36</v>
      </c>
      <c r="I304" s="21">
        <v>54</v>
      </c>
      <c r="J304" s="21">
        <v>34</v>
      </c>
    </row>
    <row r="305" spans="2:10">
      <c r="B305" s="3" t="s">
        <v>160</v>
      </c>
      <c r="C305" s="3">
        <v>0</v>
      </c>
      <c r="D305" s="3">
        <v>0</v>
      </c>
      <c r="E305" s="3">
        <v>0</v>
      </c>
      <c r="F305" s="3">
        <v>0</v>
      </c>
      <c r="G305" s="3">
        <v>0</v>
      </c>
      <c r="H305" s="3">
        <v>0</v>
      </c>
      <c r="I305" s="3">
        <v>0</v>
      </c>
      <c r="J305" s="3">
        <v>0</v>
      </c>
    </row>
    <row r="306" spans="2:10">
      <c r="B306" s="3" t="s">
        <v>161</v>
      </c>
      <c r="C306" s="21">
        <v>1</v>
      </c>
      <c r="D306" s="21">
        <v>2</v>
      </c>
      <c r="E306" s="21">
        <v>1</v>
      </c>
      <c r="F306" s="21">
        <v>1</v>
      </c>
      <c r="G306" s="21">
        <v>1</v>
      </c>
      <c r="H306" s="21">
        <v>1</v>
      </c>
      <c r="I306" s="21">
        <v>1</v>
      </c>
      <c r="J306" s="21">
        <v>2</v>
      </c>
    </row>
    <row r="307" spans="2:10">
      <c r="B307" s="3" t="s">
        <v>162</v>
      </c>
      <c r="C307" s="3">
        <v>0</v>
      </c>
      <c r="D307" s="3">
        <v>0</v>
      </c>
      <c r="E307" s="3">
        <v>0</v>
      </c>
      <c r="F307" s="3">
        <v>0</v>
      </c>
      <c r="G307" s="3">
        <v>0</v>
      </c>
      <c r="H307" s="21">
        <v>0</v>
      </c>
      <c r="I307" s="21">
        <v>0</v>
      </c>
      <c r="J307" s="3">
        <v>0</v>
      </c>
    </row>
    <row r="308" spans="2:10">
      <c r="B308" s="3" t="s">
        <v>163</v>
      </c>
      <c r="C308" s="21">
        <v>0</v>
      </c>
      <c r="D308" s="21">
        <v>0</v>
      </c>
      <c r="E308" s="21">
        <v>0</v>
      </c>
      <c r="F308" s="21">
        <v>0</v>
      </c>
      <c r="G308" s="21">
        <v>0</v>
      </c>
      <c r="H308" s="21">
        <v>0</v>
      </c>
      <c r="I308" s="21">
        <v>0</v>
      </c>
      <c r="J308" s="21">
        <v>0</v>
      </c>
    </row>
    <row r="309" spans="2:10">
      <c r="B309" s="3" t="s">
        <v>164</v>
      </c>
      <c r="C309" s="3">
        <v>0</v>
      </c>
      <c r="D309" s="3">
        <v>0</v>
      </c>
      <c r="E309" s="3">
        <v>0</v>
      </c>
      <c r="F309" s="3">
        <v>0</v>
      </c>
      <c r="G309" s="21">
        <v>0</v>
      </c>
      <c r="H309" s="21">
        <v>0</v>
      </c>
      <c r="I309" s="3">
        <v>0</v>
      </c>
      <c r="J309" s="3">
        <v>0</v>
      </c>
    </row>
    <row r="310" spans="2:10">
      <c r="B310" s="3" t="s">
        <v>165</v>
      </c>
      <c r="C310" s="21">
        <v>0</v>
      </c>
      <c r="D310" s="21">
        <v>0</v>
      </c>
      <c r="E310" s="21">
        <v>0</v>
      </c>
      <c r="F310" s="3">
        <v>0</v>
      </c>
      <c r="G310" s="21">
        <v>0</v>
      </c>
      <c r="H310" s="21">
        <v>0</v>
      </c>
      <c r="I310" s="21">
        <v>0</v>
      </c>
      <c r="J310" s="3">
        <v>0</v>
      </c>
    </row>
    <row r="311" spans="2:10">
      <c r="B311" s="3" t="s">
        <v>166</v>
      </c>
      <c r="C311" s="3" t="s">
        <v>145</v>
      </c>
      <c r="D311" s="3" t="s">
        <v>145</v>
      </c>
      <c r="E311" s="3" t="s">
        <v>145</v>
      </c>
      <c r="F311" s="3" t="s">
        <v>145</v>
      </c>
      <c r="G311" s="3" t="s">
        <v>145</v>
      </c>
      <c r="H311" s="3" t="s">
        <v>145</v>
      </c>
      <c r="I311" s="3" t="s">
        <v>145</v>
      </c>
      <c r="J311" s="3" t="s">
        <v>145</v>
      </c>
    </row>
    <row r="312" spans="2:10">
      <c r="B312" s="3" t="s">
        <v>167</v>
      </c>
      <c r="C312" s="3">
        <v>-1</v>
      </c>
      <c r="D312" s="21">
        <v>0</v>
      </c>
      <c r="E312" s="21">
        <v>0</v>
      </c>
      <c r="F312" s="21">
        <v>0</v>
      </c>
      <c r="G312" s="3">
        <v>0</v>
      </c>
      <c r="H312" s="21">
        <v>0</v>
      </c>
      <c r="I312" s="21">
        <v>0</v>
      </c>
      <c r="J312" s="3">
        <v>0</v>
      </c>
    </row>
    <row r="313" spans="2:10">
      <c r="B313" s="3" t="s">
        <v>168</v>
      </c>
      <c r="C313" s="21">
        <v>0</v>
      </c>
      <c r="D313" s="21">
        <v>0</v>
      </c>
      <c r="E313" s="21">
        <v>0</v>
      </c>
      <c r="F313" s="21">
        <v>0</v>
      </c>
      <c r="G313" s="21">
        <v>0</v>
      </c>
      <c r="H313" s="21">
        <v>0</v>
      </c>
      <c r="I313" s="21">
        <v>0</v>
      </c>
      <c r="J313" s="21">
        <v>0</v>
      </c>
    </row>
    <row r="314" spans="2:10">
      <c r="B314" s="3" t="s">
        <v>169</v>
      </c>
      <c r="C314" s="21">
        <v>0</v>
      </c>
      <c r="D314" s="21">
        <v>0</v>
      </c>
      <c r="E314" s="21">
        <v>0</v>
      </c>
      <c r="F314" s="21">
        <v>0</v>
      </c>
      <c r="G314" s="21">
        <v>0</v>
      </c>
      <c r="H314" s="21">
        <v>0</v>
      </c>
      <c r="I314" s="21">
        <v>0</v>
      </c>
      <c r="J314" s="21">
        <v>0</v>
      </c>
    </row>
    <row r="315" spans="2:10">
      <c r="B315" s="3" t="s">
        <v>170</v>
      </c>
      <c r="C315" s="21">
        <v>-16</v>
      </c>
      <c r="D315" s="21">
        <v>18</v>
      </c>
      <c r="E315" s="21">
        <v>-34</v>
      </c>
      <c r="F315" s="21">
        <v>7</v>
      </c>
      <c r="G315" s="21">
        <v>-16</v>
      </c>
      <c r="H315" s="21">
        <v>36</v>
      </c>
      <c r="I315" s="21">
        <v>-33</v>
      </c>
      <c r="J315" s="21">
        <v>13</v>
      </c>
    </row>
    <row r="316" spans="2:10">
      <c r="B316" s="3" t="s">
        <v>171</v>
      </c>
      <c r="C316" s="21">
        <v>-3</v>
      </c>
      <c r="D316" s="21">
        <v>2</v>
      </c>
      <c r="E316" s="21">
        <v>5</v>
      </c>
      <c r="F316" s="21">
        <v>4</v>
      </c>
      <c r="G316" s="21">
        <v>-5</v>
      </c>
      <c r="H316" s="21">
        <v>-10</v>
      </c>
      <c r="I316" s="21">
        <v>-1</v>
      </c>
      <c r="J316" s="21">
        <v>-5</v>
      </c>
    </row>
    <row r="317" spans="2:10">
      <c r="B317" s="3" t="s">
        <v>172</v>
      </c>
      <c r="C317" s="21">
        <v>1</v>
      </c>
      <c r="D317" s="21">
        <v>-13</v>
      </c>
      <c r="E317" s="21">
        <v>18</v>
      </c>
      <c r="F317" s="21">
        <v>8</v>
      </c>
      <c r="G317" s="21">
        <v>-5</v>
      </c>
      <c r="H317" s="21">
        <v>-8</v>
      </c>
      <c r="I317" s="21">
        <v>21</v>
      </c>
      <c r="J317" s="21">
        <v>-19</v>
      </c>
    </row>
    <row r="318" spans="2:10">
      <c r="B318" s="3" t="s">
        <v>173</v>
      </c>
      <c r="C318" s="21">
        <v>-1</v>
      </c>
      <c r="D318" s="21">
        <v>-1</v>
      </c>
      <c r="E318" s="21">
        <v>22</v>
      </c>
      <c r="F318" s="21">
        <v>-18</v>
      </c>
      <c r="G318" s="21">
        <v>-9</v>
      </c>
      <c r="H318" s="21">
        <v>-2</v>
      </c>
      <c r="I318" s="21">
        <v>32</v>
      </c>
      <c r="J318" s="21">
        <v>-16</v>
      </c>
    </row>
    <row r="319" spans="2:10">
      <c r="B319" s="3" t="s">
        <v>20</v>
      </c>
      <c r="C319" s="21">
        <v>31</v>
      </c>
      <c r="D319" s="21">
        <v>43</v>
      </c>
      <c r="E319" s="21">
        <v>70</v>
      </c>
      <c r="F319" s="21">
        <v>51</v>
      </c>
      <c r="G319" s="21">
        <v>9</v>
      </c>
      <c r="H319" s="21">
        <v>53</v>
      </c>
      <c r="I319" s="21">
        <v>74</v>
      </c>
      <c r="J319" s="21">
        <v>9</v>
      </c>
    </row>
    <row r="320" spans="2:10">
      <c r="B320" s="3" t="s">
        <v>174</v>
      </c>
      <c r="C320" s="21">
        <v>0</v>
      </c>
      <c r="D320" s="21">
        <v>0</v>
      </c>
      <c r="E320" s="21">
        <v>0</v>
      </c>
      <c r="F320" s="21">
        <v>0</v>
      </c>
      <c r="G320" s="21">
        <v>0</v>
      </c>
      <c r="H320" s="21">
        <v>0</v>
      </c>
      <c r="I320" s="21">
        <v>0</v>
      </c>
      <c r="J320" s="21">
        <v>0</v>
      </c>
    </row>
    <row r="321" spans="2:10">
      <c r="B321" s="3" t="s">
        <v>175</v>
      </c>
      <c r="C321" s="3">
        <v>0</v>
      </c>
      <c r="D321" s="21">
        <v>0</v>
      </c>
      <c r="E321" s="21">
        <v>0</v>
      </c>
      <c r="F321" s="21">
        <v>0</v>
      </c>
      <c r="G321" s="21">
        <v>0</v>
      </c>
      <c r="H321" s="21">
        <v>0</v>
      </c>
      <c r="I321" s="21">
        <v>0</v>
      </c>
      <c r="J321" s="21">
        <v>0</v>
      </c>
    </row>
    <row r="322" spans="2:10">
      <c r="B322" s="3" t="s">
        <v>22</v>
      </c>
      <c r="C322" s="21">
        <v>0</v>
      </c>
      <c r="D322" s="21">
        <v>0</v>
      </c>
      <c r="E322" s="21">
        <v>0</v>
      </c>
      <c r="F322" s="21">
        <v>0</v>
      </c>
      <c r="G322" s="21">
        <v>0</v>
      </c>
      <c r="H322" s="21">
        <v>0</v>
      </c>
      <c r="I322" s="21">
        <v>0</v>
      </c>
      <c r="J322" s="21">
        <v>0</v>
      </c>
    </row>
    <row r="323" spans="2:10">
      <c r="B323" s="3" t="s">
        <v>176</v>
      </c>
      <c r="C323" s="21">
        <v>1</v>
      </c>
      <c r="D323" s="21">
        <v>0</v>
      </c>
      <c r="E323" s="21">
        <v>0</v>
      </c>
      <c r="F323" s="21">
        <v>0</v>
      </c>
      <c r="G323" s="21">
        <v>0</v>
      </c>
      <c r="H323" s="21">
        <v>0</v>
      </c>
      <c r="I323" s="21">
        <v>0</v>
      </c>
      <c r="J323" s="21">
        <v>0</v>
      </c>
    </row>
    <row r="324" spans="2:10">
      <c r="B324" s="3" t="s">
        <v>21</v>
      </c>
      <c r="C324" s="21">
        <v>0</v>
      </c>
      <c r="D324" s="21">
        <v>-3</v>
      </c>
      <c r="E324" s="21">
        <v>-2</v>
      </c>
      <c r="F324" s="21">
        <v>0</v>
      </c>
      <c r="G324" s="21">
        <v>-1</v>
      </c>
      <c r="H324" s="21">
        <v>-3</v>
      </c>
      <c r="I324" s="21">
        <v>-2</v>
      </c>
      <c r="J324" s="21">
        <v>-4</v>
      </c>
    </row>
    <row r="325" spans="2:10">
      <c r="B325" s="3" t="s">
        <v>177</v>
      </c>
      <c r="C325" s="21">
        <v>0</v>
      </c>
      <c r="D325" s="21">
        <v>0</v>
      </c>
      <c r="E325" s="21">
        <v>-1</v>
      </c>
      <c r="F325" s="21">
        <v>0</v>
      </c>
      <c r="G325" s="21">
        <v>0</v>
      </c>
      <c r="H325" s="21">
        <v>0</v>
      </c>
      <c r="I325" s="21">
        <v>0</v>
      </c>
      <c r="J325" s="21">
        <v>0</v>
      </c>
    </row>
    <row r="326" spans="2:10">
      <c r="B326" s="3" t="s">
        <v>178</v>
      </c>
      <c r="C326" s="21">
        <v>1</v>
      </c>
      <c r="D326" s="21">
        <v>-3</v>
      </c>
      <c r="E326" s="21">
        <v>-3</v>
      </c>
      <c r="F326" s="21">
        <v>0</v>
      </c>
      <c r="G326" s="21">
        <v>-1</v>
      </c>
      <c r="H326" s="21">
        <v>-3</v>
      </c>
      <c r="I326" s="21">
        <v>-2</v>
      </c>
      <c r="J326" s="21">
        <v>-4</v>
      </c>
    </row>
    <row r="327" spans="2:10">
      <c r="B327" s="3" t="s">
        <v>179</v>
      </c>
      <c r="C327" s="21">
        <v>0</v>
      </c>
      <c r="D327" s="21">
        <v>0</v>
      </c>
      <c r="E327" s="21">
        <v>0</v>
      </c>
      <c r="F327" s="21">
        <v>0</v>
      </c>
      <c r="G327" s="21">
        <v>0</v>
      </c>
      <c r="H327" s="21">
        <v>0</v>
      </c>
      <c r="I327" s="21">
        <v>0</v>
      </c>
      <c r="J327" s="21">
        <v>0</v>
      </c>
    </row>
    <row r="328" spans="2:10">
      <c r="B328" s="3" t="s">
        <v>180</v>
      </c>
      <c r="C328" s="21">
        <v>0</v>
      </c>
      <c r="D328" s="21">
        <v>0</v>
      </c>
      <c r="E328" s="21">
        <v>0</v>
      </c>
      <c r="F328" s="21">
        <v>-128</v>
      </c>
      <c r="G328" s="21">
        <v>0</v>
      </c>
      <c r="H328" s="21">
        <v>0</v>
      </c>
      <c r="I328" s="21">
        <v>0</v>
      </c>
      <c r="J328" s="21">
        <v>-103</v>
      </c>
    </row>
    <row r="329" spans="2:10">
      <c r="B329" s="3" t="s">
        <v>181</v>
      </c>
      <c r="C329" s="3">
        <v>0</v>
      </c>
      <c r="D329" s="3">
        <v>0</v>
      </c>
      <c r="E329" s="3">
        <v>0</v>
      </c>
      <c r="F329" s="3">
        <v>0</v>
      </c>
      <c r="G329" s="3">
        <v>0</v>
      </c>
      <c r="H329" s="3">
        <v>0</v>
      </c>
      <c r="I329" s="3">
        <v>0</v>
      </c>
      <c r="J329" s="3">
        <v>0</v>
      </c>
    </row>
    <row r="330" spans="2:10">
      <c r="B330" s="3" t="s">
        <v>182</v>
      </c>
      <c r="C330" s="21">
        <v>0</v>
      </c>
      <c r="D330" s="21">
        <v>0</v>
      </c>
      <c r="E330" s="21">
        <v>0</v>
      </c>
      <c r="F330" s="21">
        <v>0</v>
      </c>
      <c r="G330" s="21">
        <v>0</v>
      </c>
      <c r="H330" s="21">
        <v>0</v>
      </c>
      <c r="I330" s="21">
        <v>0</v>
      </c>
      <c r="J330" s="21">
        <v>0</v>
      </c>
    </row>
    <row r="331" spans="2:10">
      <c r="B331" s="3" t="s">
        <v>183</v>
      </c>
      <c r="C331" s="21">
        <v>0</v>
      </c>
      <c r="D331" s="21">
        <v>0</v>
      </c>
      <c r="E331" s="21">
        <v>0</v>
      </c>
      <c r="F331" s="21">
        <v>0</v>
      </c>
      <c r="G331" s="21">
        <v>-7</v>
      </c>
      <c r="H331" s="21">
        <v>5</v>
      </c>
      <c r="I331" s="21">
        <v>2</v>
      </c>
      <c r="J331" s="21">
        <v>0</v>
      </c>
    </row>
    <row r="332" spans="2:10">
      <c r="B332" s="3" t="s">
        <v>184</v>
      </c>
      <c r="C332" s="21">
        <v>0</v>
      </c>
      <c r="D332" s="21">
        <v>0</v>
      </c>
      <c r="E332" s="21">
        <v>0</v>
      </c>
      <c r="F332" s="21">
        <v>0</v>
      </c>
      <c r="G332" s="21">
        <v>0</v>
      </c>
      <c r="H332" s="21">
        <v>0</v>
      </c>
      <c r="I332" s="21">
        <v>0</v>
      </c>
      <c r="J332" s="21">
        <v>0</v>
      </c>
    </row>
    <row r="333" spans="2:10">
      <c r="B333" s="3" t="s">
        <v>185</v>
      </c>
      <c r="C333" s="21">
        <v>0</v>
      </c>
      <c r="D333" s="21">
        <v>0</v>
      </c>
      <c r="E333" s="21">
        <v>0</v>
      </c>
      <c r="F333" s="21">
        <v>0</v>
      </c>
      <c r="G333" s="21">
        <v>0</v>
      </c>
      <c r="H333" s="21">
        <v>0</v>
      </c>
      <c r="I333" s="21">
        <v>0</v>
      </c>
      <c r="J333" s="21">
        <v>0</v>
      </c>
    </row>
    <row r="334" spans="2:10">
      <c r="B334" s="3" t="s">
        <v>186</v>
      </c>
      <c r="C334" s="21">
        <v>0</v>
      </c>
      <c r="D334" s="21">
        <v>0</v>
      </c>
      <c r="E334" s="21">
        <v>0</v>
      </c>
      <c r="F334" s="21">
        <v>0</v>
      </c>
      <c r="G334" s="3">
        <v>0</v>
      </c>
      <c r="H334" s="21">
        <v>0</v>
      </c>
      <c r="I334" s="21">
        <v>0</v>
      </c>
      <c r="J334" s="21">
        <v>0</v>
      </c>
    </row>
    <row r="335" spans="2:10">
      <c r="B335" s="3" t="s">
        <v>187</v>
      </c>
      <c r="C335" s="21">
        <v>0</v>
      </c>
      <c r="D335" s="21">
        <v>0</v>
      </c>
      <c r="E335" s="21">
        <v>0</v>
      </c>
      <c r="F335" s="21">
        <v>0</v>
      </c>
      <c r="G335" s="21">
        <v>5</v>
      </c>
      <c r="H335" s="21">
        <v>-5</v>
      </c>
      <c r="I335" s="21">
        <v>-2</v>
      </c>
      <c r="J335" s="21">
        <v>0</v>
      </c>
    </row>
    <row r="336" spans="2:10">
      <c r="B336" s="3" t="s">
        <v>188</v>
      </c>
      <c r="C336" s="21">
        <v>0</v>
      </c>
      <c r="D336" s="21">
        <v>0</v>
      </c>
      <c r="E336" s="21">
        <v>0</v>
      </c>
      <c r="F336" s="21">
        <v>-128</v>
      </c>
      <c r="G336" s="21">
        <v>-2</v>
      </c>
      <c r="H336" s="21">
        <v>0</v>
      </c>
      <c r="I336" s="21">
        <v>0</v>
      </c>
      <c r="J336" s="21">
        <v>-103</v>
      </c>
    </row>
    <row r="337" spans="2:10">
      <c r="B337" s="3" t="s">
        <v>189</v>
      </c>
      <c r="C337" s="21">
        <v>-1</v>
      </c>
      <c r="D337" s="21">
        <v>0</v>
      </c>
      <c r="E337" s="21">
        <v>1</v>
      </c>
      <c r="F337" s="21">
        <v>0</v>
      </c>
      <c r="G337" s="21">
        <v>0</v>
      </c>
      <c r="H337" s="21">
        <v>0</v>
      </c>
      <c r="I337" s="21">
        <v>1</v>
      </c>
      <c r="J337" s="21">
        <v>0</v>
      </c>
    </row>
    <row r="338" spans="2:10">
      <c r="B338" s="3" t="s">
        <v>190</v>
      </c>
      <c r="C338" s="21">
        <v>31</v>
      </c>
      <c r="D338" s="21">
        <v>40</v>
      </c>
      <c r="E338" s="21">
        <v>67</v>
      </c>
      <c r="F338" s="21">
        <v>-77</v>
      </c>
      <c r="G338" s="21">
        <v>6</v>
      </c>
      <c r="H338" s="21">
        <v>50</v>
      </c>
      <c r="I338" s="21">
        <v>73</v>
      </c>
      <c r="J338" s="21">
        <v>-98</v>
      </c>
    </row>
    <row r="339" spans="2:10">
      <c r="B339" s="3" t="s">
        <v>191</v>
      </c>
      <c r="C339" s="21">
        <v>415</v>
      </c>
      <c r="D339" s="21">
        <v>375</v>
      </c>
      <c r="E339" s="21">
        <v>307</v>
      </c>
      <c r="F339" s="21">
        <v>384</v>
      </c>
      <c r="G339" s="21">
        <v>379</v>
      </c>
      <c r="H339" s="21">
        <v>328</v>
      </c>
      <c r="I339" s="21">
        <v>255</v>
      </c>
      <c r="J339" s="21">
        <v>353</v>
      </c>
    </row>
    <row r="340" spans="2:10">
      <c r="B340" s="3" t="s">
        <v>192</v>
      </c>
      <c r="C340" s="21">
        <v>446</v>
      </c>
      <c r="D340" s="21">
        <v>415</v>
      </c>
      <c r="E340" s="21">
        <v>375</v>
      </c>
      <c r="F340" s="21">
        <v>307</v>
      </c>
      <c r="G340" s="21">
        <v>384</v>
      </c>
      <c r="H340" s="21">
        <v>379</v>
      </c>
      <c r="I340" s="21">
        <v>328</v>
      </c>
      <c r="J340" s="21">
        <v>255</v>
      </c>
    </row>
    <row r="341" spans="2:10">
      <c r="B341" s="3" t="s">
        <v>193</v>
      </c>
      <c r="C341" s="21">
        <v>0</v>
      </c>
      <c r="D341" s="21">
        <v>0</v>
      </c>
      <c r="E341" s="21">
        <v>0</v>
      </c>
      <c r="F341" s="21">
        <v>0</v>
      </c>
      <c r="G341" s="21">
        <v>0</v>
      </c>
      <c r="H341" s="21">
        <v>0</v>
      </c>
      <c r="I341" s="21">
        <v>0</v>
      </c>
      <c r="J341" s="21">
        <v>0</v>
      </c>
    </row>
    <row r="342" spans="2:10">
      <c r="B342" s="3" t="s">
        <v>194</v>
      </c>
      <c r="C342" s="21" t="s">
        <v>145</v>
      </c>
      <c r="D342" s="3" t="s">
        <v>145</v>
      </c>
      <c r="E342" s="21" t="s">
        <v>145</v>
      </c>
      <c r="F342" s="3" t="s">
        <v>145</v>
      </c>
      <c r="G342" s="3" t="s">
        <v>145</v>
      </c>
      <c r="H342" s="3" t="s">
        <v>145</v>
      </c>
      <c r="I342" s="21" t="s">
        <v>145</v>
      </c>
      <c r="J342" s="3" t="s">
        <v>145</v>
      </c>
    </row>
    <row r="343" spans="2:10">
      <c r="B343" s="3" t="s">
        <v>195</v>
      </c>
    </row>
    <row r="344" spans="2:10">
      <c r="B344" s="3" t="s">
        <v>196</v>
      </c>
      <c r="C344" s="21"/>
      <c r="D344" s="21"/>
      <c r="E344" s="21"/>
      <c r="F344" s="21"/>
      <c r="G344" s="21"/>
      <c r="H344" s="21"/>
      <c r="I344" s="21"/>
      <c r="J344" s="21"/>
    </row>
    <row r="345" spans="2:10">
      <c r="B345" s="3" t="s">
        <v>157</v>
      </c>
      <c r="C345" s="21"/>
      <c r="D345" s="21"/>
      <c r="E345" s="21"/>
      <c r="F345" s="21"/>
      <c r="G345" s="21"/>
      <c r="H345" s="21"/>
      <c r="I345" s="21"/>
      <c r="J345" s="21"/>
    </row>
    <row r="346" spans="2:10">
      <c r="B346" s="3" t="s">
        <v>158</v>
      </c>
      <c r="C346" s="21"/>
      <c r="D346" s="21"/>
      <c r="E346" s="21"/>
      <c r="F346" s="21"/>
      <c r="G346" s="21"/>
      <c r="H346" s="21"/>
      <c r="I346" s="21"/>
      <c r="J346" s="21"/>
    </row>
  </sheetData>
  <mergeCells count="114">
    <mergeCell ref="O124:P124"/>
    <mergeCell ref="O125:P125"/>
    <mergeCell ref="O126:P126"/>
    <mergeCell ref="O127:P127"/>
    <mergeCell ref="O128:P128"/>
    <mergeCell ref="O119:P119"/>
    <mergeCell ref="O120:P120"/>
    <mergeCell ref="O121:P121"/>
    <mergeCell ref="O122:P122"/>
    <mergeCell ref="O123:P123"/>
    <mergeCell ref="O114:P114"/>
    <mergeCell ref="O115:P115"/>
    <mergeCell ref="O116:P116"/>
    <mergeCell ref="O117:P117"/>
    <mergeCell ref="O118:P118"/>
    <mergeCell ref="O109:P109"/>
    <mergeCell ref="O110:P110"/>
    <mergeCell ref="O111:P111"/>
    <mergeCell ref="O112:P112"/>
    <mergeCell ref="O113:P113"/>
    <mergeCell ref="O104:P104"/>
    <mergeCell ref="O105:P105"/>
    <mergeCell ref="O106:P106"/>
    <mergeCell ref="N107:N108"/>
    <mergeCell ref="O107:P107"/>
    <mergeCell ref="O99:P99"/>
    <mergeCell ref="O100:P100"/>
    <mergeCell ref="O101:P101"/>
    <mergeCell ref="O102:P102"/>
    <mergeCell ref="O103:P103"/>
    <mergeCell ref="O94:P94"/>
    <mergeCell ref="O95:P95"/>
    <mergeCell ref="O96:P96"/>
    <mergeCell ref="O97:P97"/>
    <mergeCell ref="O98:P98"/>
    <mergeCell ref="O89:P89"/>
    <mergeCell ref="O90:P90"/>
    <mergeCell ref="O91:P91"/>
    <mergeCell ref="O92:P92"/>
    <mergeCell ref="O93:P93"/>
    <mergeCell ref="O84:P84"/>
    <mergeCell ref="O85:P85"/>
    <mergeCell ref="O86:P86"/>
    <mergeCell ref="O87:P87"/>
    <mergeCell ref="O88:P88"/>
    <mergeCell ref="O79:P79"/>
    <mergeCell ref="O80:P80"/>
    <mergeCell ref="O81:P81"/>
    <mergeCell ref="O82:P82"/>
    <mergeCell ref="O83:P83"/>
    <mergeCell ref="O74:P74"/>
    <mergeCell ref="O75:P75"/>
    <mergeCell ref="O76:P76"/>
    <mergeCell ref="O77:P77"/>
    <mergeCell ref="O78:P78"/>
    <mergeCell ref="O69:P69"/>
    <mergeCell ref="O70:P70"/>
    <mergeCell ref="O71:P71"/>
    <mergeCell ref="N72:N73"/>
    <mergeCell ref="O72:P72"/>
    <mergeCell ref="O64:P64"/>
    <mergeCell ref="O65:P65"/>
    <mergeCell ref="O66:P66"/>
    <mergeCell ref="O67:P67"/>
    <mergeCell ref="O68:P68"/>
    <mergeCell ref="O59:P59"/>
    <mergeCell ref="N60:N61"/>
    <mergeCell ref="O60:P60"/>
    <mergeCell ref="O62:P62"/>
    <mergeCell ref="O63:P63"/>
    <mergeCell ref="O54:P54"/>
    <mergeCell ref="O55:P55"/>
    <mergeCell ref="O56:P56"/>
    <mergeCell ref="O57:P57"/>
    <mergeCell ref="O58:P58"/>
    <mergeCell ref="O49:P49"/>
    <mergeCell ref="N50:N51"/>
    <mergeCell ref="O50:P50"/>
    <mergeCell ref="O52:P52"/>
    <mergeCell ref="O53:P53"/>
    <mergeCell ref="O46:P46"/>
    <mergeCell ref="O47:P47"/>
    <mergeCell ref="O48:P48"/>
    <mergeCell ref="O45:Y45"/>
    <mergeCell ref="X41:X44"/>
    <mergeCell ref="T39:T40"/>
    <mergeCell ref="U39:U40"/>
    <mergeCell ref="V39:V40"/>
    <mergeCell ref="W39:W40"/>
    <mergeCell ref="X39:X40"/>
    <mergeCell ref="O39:O40"/>
    <mergeCell ref="P39:P40"/>
    <mergeCell ref="Q39:Q40"/>
    <mergeCell ref="R39:R40"/>
    <mergeCell ref="S39:S40"/>
    <mergeCell ref="O41:O44"/>
    <mergeCell ref="P41:P44"/>
    <mergeCell ref="Q41:Q44"/>
    <mergeCell ref="R41:R44"/>
    <mergeCell ref="S41:S44"/>
    <mergeCell ref="T41:T44"/>
    <mergeCell ref="U41:U44"/>
    <mergeCell ref="V41:V44"/>
    <mergeCell ref="W41:W44"/>
    <mergeCell ref="N31:N32"/>
    <mergeCell ref="W30:X30"/>
    <mergeCell ref="W31:X31"/>
    <mergeCell ref="T1:V1"/>
    <mergeCell ref="W1:X1"/>
    <mergeCell ref="W2:X2"/>
    <mergeCell ref="W21:W22"/>
    <mergeCell ref="X21:X22"/>
    <mergeCell ref="Y39:Y40"/>
    <mergeCell ref="O37:V37"/>
  </mergeCells>
  <phoneticPr fontId="2" type="noConversion"/>
  <hyperlinks>
    <hyperlink ref="N41" r:id="rId1" display="https://tw.stock.yahoo.com/q/bc?s=8416"/>
    <hyperlink ref="N42" r:id="rId2" display="https://tw.stock.yahoo.com/pf/pfsel?stocklist=8416;"/>
    <hyperlink ref="N44" r:id="rId3" display="https://tw.stock.yahoo.com/pf/pfsel?stocklist=8416;"/>
    <hyperlink ref="Y41" r:id="rId4" display="https://tw.stock.yahoo.com/q/ts?s=8416"/>
    <hyperlink ref="Y44" r:id="rId5" display="https://tw.rd.yahoo.com/referurl/stock/other/SIG=125v47s73/**https:/tw.screener.finance.yahoo.net/screener/check.html?symid=8416"/>
    <hyperlink ref="O45" r:id="rId6" display="javascript: CheckP(document.orderform, 'Z', '/fcgi-bin/orderpage.fcg');"/>
  </hyperlinks>
  <pageMargins left="0.7" right="0.7" top="0.75" bottom="0.75" header="0.3" footer="0.3"/>
  <pageSetup paperSize="9" orientation="portrait" r:id="rId7"/>
  <drawing r:id="rId8"/>
  <legacyDrawing r:id="rId9"/>
  <controls>
    <mc:AlternateContent xmlns:mc="http://schemas.openxmlformats.org/markup-compatibility/2006">
      <mc:Choice Requires="x14">
        <control shapeId="1059" r:id="rId10" name="CommandButton24">
          <controlPr defaultSize="0" autoLine="0" r:id="rId11">
            <anchor moveWithCells="1">
              <from>
                <xdr:col>20</xdr:col>
                <xdr:colOff>180975</xdr:colOff>
                <xdr:row>35</xdr:row>
                <xdr:rowOff>28575</xdr:rowOff>
              </from>
              <to>
                <xdr:col>21</xdr:col>
                <xdr:colOff>409575</xdr:colOff>
                <xdr:row>36</xdr:row>
                <xdr:rowOff>133350</xdr:rowOff>
              </to>
            </anchor>
          </controlPr>
        </control>
      </mc:Choice>
      <mc:Fallback>
        <control shapeId="1059" r:id="rId10" name="CommandButton24"/>
      </mc:Fallback>
    </mc:AlternateContent>
    <mc:AlternateContent xmlns:mc="http://schemas.openxmlformats.org/markup-compatibility/2006">
      <mc:Choice Requires="x14">
        <control shapeId="1058" r:id="rId12" name="CommandButton23">
          <controlPr defaultSize="0" autoLine="0" r:id="rId13">
            <anchor moveWithCells="1">
              <from>
                <xdr:col>14</xdr:col>
                <xdr:colOff>133350</xdr:colOff>
                <xdr:row>35</xdr:row>
                <xdr:rowOff>47625</xdr:rowOff>
              </from>
              <to>
                <xdr:col>15</xdr:col>
                <xdr:colOff>333375</xdr:colOff>
                <xdr:row>36</xdr:row>
                <xdr:rowOff>161925</xdr:rowOff>
              </to>
            </anchor>
          </controlPr>
        </control>
      </mc:Choice>
      <mc:Fallback>
        <control shapeId="1058" r:id="rId12" name="CommandButton23"/>
      </mc:Fallback>
    </mc:AlternateContent>
    <mc:AlternateContent xmlns:mc="http://schemas.openxmlformats.org/markup-compatibility/2006">
      <mc:Choice Requires="x14">
        <control shapeId="1057" r:id="rId14" name="CommandButton22">
          <controlPr defaultSize="0" autoLine="0" r:id="rId15">
            <anchor moveWithCells="1">
              <from>
                <xdr:col>14</xdr:col>
                <xdr:colOff>133350</xdr:colOff>
                <xdr:row>1</xdr:row>
                <xdr:rowOff>104775</xdr:rowOff>
              </from>
              <to>
                <xdr:col>15</xdr:col>
                <xdr:colOff>342900</xdr:colOff>
                <xdr:row>2</xdr:row>
                <xdr:rowOff>171450</xdr:rowOff>
              </to>
            </anchor>
          </controlPr>
        </control>
      </mc:Choice>
      <mc:Fallback>
        <control shapeId="1057" r:id="rId14" name="CommandButton22"/>
      </mc:Fallback>
    </mc:AlternateContent>
    <mc:AlternateContent xmlns:mc="http://schemas.openxmlformats.org/markup-compatibility/2006">
      <mc:Choice Requires="x14">
        <control shapeId="1056" r:id="rId16" name="CommandButton10">
          <controlPr defaultSize="0" autoLine="0" r:id="rId17">
            <anchor moveWithCells="1">
              <from>
                <xdr:col>20</xdr:col>
                <xdr:colOff>219075</xdr:colOff>
                <xdr:row>1</xdr:row>
                <xdr:rowOff>104775</xdr:rowOff>
              </from>
              <to>
                <xdr:col>21</xdr:col>
                <xdr:colOff>447675</xdr:colOff>
                <xdr:row>2</xdr:row>
                <xdr:rowOff>171450</xdr:rowOff>
              </to>
            </anchor>
          </controlPr>
        </control>
      </mc:Choice>
      <mc:Fallback>
        <control shapeId="1056" r:id="rId16" name="CommandButton10"/>
      </mc:Fallback>
    </mc:AlternateContent>
    <mc:AlternateContent xmlns:mc="http://schemas.openxmlformats.org/markup-compatibility/2006">
      <mc:Choice Requires="x14">
        <control shapeId="1040" r:id="rId18" name="CommandButton3">
          <controlPr defaultSize="0" autoLine="0" autoPict="0" r:id="rId19">
            <anchor moveWithCells="1">
              <from>
                <xdr:col>0</xdr:col>
                <xdr:colOff>28575</xdr:colOff>
                <xdr:row>0</xdr:row>
                <xdr:rowOff>19050</xdr:rowOff>
              </from>
              <to>
                <xdr:col>0</xdr:col>
                <xdr:colOff>171450</xdr:colOff>
                <xdr:row>1</xdr:row>
                <xdr:rowOff>0</xdr:rowOff>
              </to>
            </anchor>
          </controlPr>
        </control>
      </mc:Choice>
      <mc:Fallback>
        <control shapeId="1040" r:id="rId18" name="CommandButton3"/>
      </mc:Fallback>
    </mc:AlternateContent>
    <mc:AlternateContent xmlns:mc="http://schemas.openxmlformats.org/markup-compatibility/2006">
      <mc:Choice Requires="x14">
        <control shapeId="1025" r:id="rId20" name="ComboBox1">
          <controlPr defaultSize="0" autoLine="0" autoPict="0" listFillRange="清單表!F2:F500" r:id="rId21">
            <anchor moveWithCells="1">
              <from>
                <xdr:col>0</xdr:col>
                <xdr:colOff>180975</xdr:colOff>
                <xdr:row>0</xdr:row>
                <xdr:rowOff>0</xdr:rowOff>
              </from>
              <to>
                <xdr:col>1</xdr:col>
                <xdr:colOff>266700</xdr:colOff>
                <xdr:row>1</xdr:row>
                <xdr:rowOff>0</xdr:rowOff>
              </to>
            </anchor>
          </controlPr>
        </control>
      </mc:Choice>
      <mc:Fallback>
        <control shapeId="1025" r:id="rId20" name="ComboBox1"/>
      </mc:Fallback>
    </mc:AlternateContent>
    <mc:AlternateContent xmlns:mc="http://schemas.openxmlformats.org/markup-compatibility/2006">
      <mc:Choice Requires="x14">
        <control shapeId="1026" r:id="rId22" name="CommandButton1">
          <controlPr defaultSize="0" autoLine="0" autoPict="0" r:id="rId23">
            <anchor moveWithCells="1">
              <from>
                <xdr:col>3</xdr:col>
                <xdr:colOff>9525</xdr:colOff>
                <xdr:row>0</xdr:row>
                <xdr:rowOff>19050</xdr:rowOff>
              </from>
              <to>
                <xdr:col>4</xdr:col>
                <xdr:colOff>28575</xdr:colOff>
                <xdr:row>1</xdr:row>
                <xdr:rowOff>0</xdr:rowOff>
              </to>
            </anchor>
          </controlPr>
        </control>
      </mc:Choice>
      <mc:Fallback>
        <control shapeId="1026" r:id="rId22" name="CommandButton1"/>
      </mc:Fallback>
    </mc:AlternateContent>
    <mc:AlternateContent xmlns:mc="http://schemas.openxmlformats.org/markup-compatibility/2006">
      <mc:Choice Requires="x14">
        <control shapeId="1027" r:id="rId24" name="CommandButton2">
          <controlPr defaultSize="0" autoLine="0" autoPict="0" r:id="rId25">
            <anchor moveWithCells="1">
              <from>
                <xdr:col>4</xdr:col>
                <xdr:colOff>19050</xdr:colOff>
                <xdr:row>0</xdr:row>
                <xdr:rowOff>19050</xdr:rowOff>
              </from>
              <to>
                <xdr:col>5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1027" r:id="rId24" name="CommandButton2"/>
      </mc:Fallback>
    </mc:AlternateContent>
    <mc:AlternateContent xmlns:mc="http://schemas.openxmlformats.org/markup-compatibility/2006">
      <mc:Choice Requires="x14">
        <control shapeId="1028" r:id="rId26" name="CommandButton4">
          <controlPr defaultSize="0" autoLine="0" autoPict="0" r:id="rId27">
            <anchor moveWithCells="1">
              <from>
                <xdr:col>6</xdr:col>
                <xdr:colOff>19050</xdr:colOff>
                <xdr:row>0</xdr:row>
                <xdr:rowOff>19050</xdr:rowOff>
              </from>
              <to>
                <xdr:col>7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1028" r:id="rId26" name="CommandButton4"/>
      </mc:Fallback>
    </mc:AlternateContent>
    <mc:AlternateContent xmlns:mc="http://schemas.openxmlformats.org/markup-compatibility/2006">
      <mc:Choice Requires="x14">
        <control shapeId="1029" r:id="rId28" name="CommandButton5">
          <controlPr defaultSize="0" autoLine="0" autoPict="0" r:id="rId29">
            <anchor moveWithCells="1">
              <from>
                <xdr:col>5</xdr:col>
                <xdr:colOff>19050</xdr:colOff>
                <xdr:row>0</xdr:row>
                <xdr:rowOff>19050</xdr:rowOff>
              </from>
              <to>
                <xdr:col>6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1029" r:id="rId28" name="CommandButton5"/>
      </mc:Fallback>
    </mc:AlternateContent>
    <mc:AlternateContent xmlns:mc="http://schemas.openxmlformats.org/markup-compatibility/2006">
      <mc:Choice Requires="x14">
        <control shapeId="1030" r:id="rId30" name="CommandButton6">
          <controlPr defaultSize="0" autoLine="0" autoPict="0" r:id="rId31">
            <anchor moveWithCells="1">
              <from>
                <xdr:col>7</xdr:col>
                <xdr:colOff>19050</xdr:colOff>
                <xdr:row>0</xdr:row>
                <xdr:rowOff>19050</xdr:rowOff>
              </from>
              <to>
                <xdr:col>8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1030" r:id="rId30" name="CommandButton6"/>
      </mc:Fallback>
    </mc:AlternateContent>
    <mc:AlternateContent xmlns:mc="http://schemas.openxmlformats.org/markup-compatibility/2006">
      <mc:Choice Requires="x14">
        <control shapeId="1031" r:id="rId32" name="CommandButton7">
          <controlPr defaultSize="0" autoLine="0" autoPict="0" r:id="rId33">
            <anchor moveWithCells="1">
              <from>
                <xdr:col>8</xdr:col>
                <xdr:colOff>0</xdr:colOff>
                <xdr:row>0</xdr:row>
                <xdr:rowOff>19050</xdr:rowOff>
              </from>
              <to>
                <xdr:col>8</xdr:col>
                <xdr:colOff>933450</xdr:colOff>
                <xdr:row>1</xdr:row>
                <xdr:rowOff>0</xdr:rowOff>
              </to>
            </anchor>
          </controlPr>
        </control>
      </mc:Choice>
      <mc:Fallback>
        <control shapeId="1031" r:id="rId32" name="CommandButton7"/>
      </mc:Fallback>
    </mc:AlternateContent>
    <mc:AlternateContent xmlns:mc="http://schemas.openxmlformats.org/markup-compatibility/2006">
      <mc:Choice Requires="x14">
        <control shapeId="1032" r:id="rId34" name="CommandButton8">
          <controlPr defaultSize="0" autoLine="0" autoPict="0" r:id="rId35">
            <anchor moveWithCells="1">
              <from>
                <xdr:col>8</xdr:col>
                <xdr:colOff>962025</xdr:colOff>
                <xdr:row>0</xdr:row>
                <xdr:rowOff>9525</xdr:rowOff>
              </from>
              <to>
                <xdr:col>9</xdr:col>
                <xdr:colOff>409575</xdr:colOff>
                <xdr:row>1</xdr:row>
                <xdr:rowOff>0</xdr:rowOff>
              </to>
            </anchor>
          </controlPr>
        </control>
      </mc:Choice>
      <mc:Fallback>
        <control shapeId="1032" r:id="rId34" name="CommandButton8"/>
      </mc:Fallback>
    </mc:AlternateContent>
    <mc:AlternateContent xmlns:mc="http://schemas.openxmlformats.org/markup-compatibility/2006">
      <mc:Choice Requires="x14">
        <control shapeId="1033" r:id="rId36" name="CommandButton9">
          <controlPr defaultSize="0" autoLine="0" r:id="rId37">
            <anchor moveWithCells="1">
              <from>
                <xdr:col>22</xdr:col>
                <xdr:colOff>38100</xdr:colOff>
                <xdr:row>1</xdr:row>
                <xdr:rowOff>28575</xdr:rowOff>
              </from>
              <to>
                <xdr:col>24</xdr:col>
                <xdr:colOff>419100</xdr:colOff>
                <xdr:row>2</xdr:row>
                <xdr:rowOff>180975</xdr:rowOff>
              </to>
            </anchor>
          </controlPr>
        </control>
      </mc:Choice>
      <mc:Fallback>
        <control shapeId="1033" r:id="rId36" name="CommandButton9"/>
      </mc:Fallback>
    </mc:AlternateContent>
    <mc:AlternateContent xmlns:mc="http://schemas.openxmlformats.org/markup-compatibility/2006">
      <mc:Choice Requires="x14">
        <control shapeId="1034" r:id="rId38" name="CommandButton0">
          <controlPr defaultSize="0" autoLine="0" autoPict="0" r:id="rId39">
            <anchor moveWithCells="1">
              <from>
                <xdr:col>22</xdr:col>
                <xdr:colOff>28575</xdr:colOff>
                <xdr:row>0</xdr:row>
                <xdr:rowOff>9525</xdr:rowOff>
              </from>
              <to>
                <xdr:col>24</xdr:col>
                <xdr:colOff>409575</xdr:colOff>
                <xdr:row>1</xdr:row>
                <xdr:rowOff>0</xdr:rowOff>
              </to>
            </anchor>
          </controlPr>
        </control>
      </mc:Choice>
      <mc:Fallback>
        <control shapeId="1034" r:id="rId38" name="CommandButton0"/>
      </mc:Fallback>
    </mc:AlternateContent>
    <mc:AlternateContent xmlns:mc="http://schemas.openxmlformats.org/markup-compatibility/2006">
      <mc:Choice Requires="x14">
        <control shapeId="1042" r:id="rId40" name="CommandButton11">
          <controlPr defaultSize="0" autoLine="0" r:id="rId41">
            <anchor moveWithCells="1">
              <from>
                <xdr:col>22</xdr:col>
                <xdr:colOff>19050</xdr:colOff>
                <xdr:row>2</xdr:row>
                <xdr:rowOff>200025</xdr:rowOff>
              </from>
              <to>
                <xdr:col>24</xdr:col>
                <xdr:colOff>419100</xdr:colOff>
                <xdr:row>4</xdr:row>
                <xdr:rowOff>180975</xdr:rowOff>
              </to>
            </anchor>
          </controlPr>
        </control>
      </mc:Choice>
      <mc:Fallback>
        <control shapeId="1042" r:id="rId40" name="CommandButton11"/>
      </mc:Fallback>
    </mc:AlternateContent>
    <mc:AlternateContent xmlns:mc="http://schemas.openxmlformats.org/markup-compatibility/2006">
      <mc:Choice Requires="x14">
        <control shapeId="1044" r:id="rId42" name="CommandButton12">
          <controlPr defaultSize="0" autoLine="0" r:id="rId43">
            <anchor moveWithCells="1">
              <from>
                <xdr:col>22</xdr:col>
                <xdr:colOff>19050</xdr:colOff>
                <xdr:row>4</xdr:row>
                <xdr:rowOff>180975</xdr:rowOff>
              </from>
              <to>
                <xdr:col>24</xdr:col>
                <xdr:colOff>419100</xdr:colOff>
                <xdr:row>6</xdr:row>
                <xdr:rowOff>161925</xdr:rowOff>
              </to>
            </anchor>
          </controlPr>
        </control>
      </mc:Choice>
      <mc:Fallback>
        <control shapeId="1044" r:id="rId42" name="CommandButton12"/>
      </mc:Fallback>
    </mc:AlternateContent>
    <mc:AlternateContent xmlns:mc="http://schemas.openxmlformats.org/markup-compatibility/2006">
      <mc:Choice Requires="x14">
        <control shapeId="1045" r:id="rId44" name="CommandButton13">
          <controlPr defaultSize="0" autoLine="0" r:id="rId45">
            <anchor moveWithCells="1">
              <from>
                <xdr:col>22</xdr:col>
                <xdr:colOff>28575</xdr:colOff>
                <xdr:row>6</xdr:row>
                <xdr:rowOff>171450</xdr:rowOff>
              </from>
              <to>
                <xdr:col>24</xdr:col>
                <xdr:colOff>419100</xdr:colOff>
                <xdr:row>8</xdr:row>
                <xdr:rowOff>152400</xdr:rowOff>
              </to>
            </anchor>
          </controlPr>
        </control>
      </mc:Choice>
      <mc:Fallback>
        <control shapeId="1045" r:id="rId44" name="CommandButton13"/>
      </mc:Fallback>
    </mc:AlternateContent>
    <mc:AlternateContent xmlns:mc="http://schemas.openxmlformats.org/markup-compatibility/2006">
      <mc:Choice Requires="x14">
        <control shapeId="1047" r:id="rId46" name="CommandButton14">
          <controlPr defaultSize="0" autoLine="0" r:id="rId47">
            <anchor moveWithCells="1">
              <from>
                <xdr:col>22</xdr:col>
                <xdr:colOff>19050</xdr:colOff>
                <xdr:row>8</xdr:row>
                <xdr:rowOff>142875</xdr:rowOff>
              </from>
              <to>
                <xdr:col>24</xdr:col>
                <xdr:colOff>419100</xdr:colOff>
                <xdr:row>10</xdr:row>
                <xdr:rowOff>133350</xdr:rowOff>
              </to>
            </anchor>
          </controlPr>
        </control>
      </mc:Choice>
      <mc:Fallback>
        <control shapeId="1047" r:id="rId46" name="CommandButton14"/>
      </mc:Fallback>
    </mc:AlternateContent>
    <mc:AlternateContent xmlns:mc="http://schemas.openxmlformats.org/markup-compatibility/2006">
      <mc:Choice Requires="x14">
        <control shapeId="1049" r:id="rId48" name="CommandButton15">
          <controlPr defaultSize="0" autoLine="0" r:id="rId49">
            <anchor moveWithCells="1">
              <from>
                <xdr:col>22</xdr:col>
                <xdr:colOff>38100</xdr:colOff>
                <xdr:row>10</xdr:row>
                <xdr:rowOff>142875</xdr:rowOff>
              </from>
              <to>
                <xdr:col>24</xdr:col>
                <xdr:colOff>419100</xdr:colOff>
                <xdr:row>12</xdr:row>
                <xdr:rowOff>133350</xdr:rowOff>
              </to>
            </anchor>
          </controlPr>
        </control>
      </mc:Choice>
      <mc:Fallback>
        <control shapeId="1049" r:id="rId48" name="CommandButton15"/>
      </mc:Fallback>
    </mc:AlternateContent>
    <mc:AlternateContent xmlns:mc="http://schemas.openxmlformats.org/markup-compatibility/2006">
      <mc:Choice Requires="x14">
        <control shapeId="1050" r:id="rId50" name="CommandButton16">
          <controlPr defaultSize="0" autoLine="0" r:id="rId51">
            <anchor moveWithCells="1">
              <from>
                <xdr:col>22</xdr:col>
                <xdr:colOff>28575</xdr:colOff>
                <xdr:row>12</xdr:row>
                <xdr:rowOff>161925</xdr:rowOff>
              </from>
              <to>
                <xdr:col>24</xdr:col>
                <xdr:colOff>409575</xdr:colOff>
                <xdr:row>14</xdr:row>
                <xdr:rowOff>142875</xdr:rowOff>
              </to>
            </anchor>
          </controlPr>
        </control>
      </mc:Choice>
      <mc:Fallback>
        <control shapeId="1050" r:id="rId50" name="CommandButton16"/>
      </mc:Fallback>
    </mc:AlternateContent>
    <mc:AlternateContent xmlns:mc="http://schemas.openxmlformats.org/markup-compatibility/2006">
      <mc:Choice Requires="x14">
        <control shapeId="1051" r:id="rId52" name="CommandButton17">
          <controlPr defaultSize="0" autoLine="0" r:id="rId53">
            <anchor moveWithCells="1">
              <from>
                <xdr:col>22</xdr:col>
                <xdr:colOff>28575</xdr:colOff>
                <xdr:row>14</xdr:row>
                <xdr:rowOff>152400</xdr:rowOff>
              </from>
              <to>
                <xdr:col>24</xdr:col>
                <xdr:colOff>419100</xdr:colOff>
                <xdr:row>16</xdr:row>
                <xdr:rowOff>133350</xdr:rowOff>
              </to>
            </anchor>
          </controlPr>
        </control>
      </mc:Choice>
      <mc:Fallback>
        <control shapeId="1051" r:id="rId52" name="CommandButton17"/>
      </mc:Fallback>
    </mc:AlternateContent>
    <mc:AlternateContent xmlns:mc="http://schemas.openxmlformats.org/markup-compatibility/2006">
      <mc:Choice Requires="x14">
        <control shapeId="1052" r:id="rId54" name="CommandButton18">
          <controlPr defaultSize="0" autoLine="0" r:id="rId55">
            <anchor moveWithCells="1">
              <from>
                <xdr:col>22</xdr:col>
                <xdr:colOff>28575</xdr:colOff>
                <xdr:row>16</xdr:row>
                <xdr:rowOff>142875</xdr:rowOff>
              </from>
              <to>
                <xdr:col>24</xdr:col>
                <xdr:colOff>419100</xdr:colOff>
                <xdr:row>18</xdr:row>
                <xdr:rowOff>123825</xdr:rowOff>
              </to>
            </anchor>
          </controlPr>
        </control>
      </mc:Choice>
      <mc:Fallback>
        <control shapeId="1052" r:id="rId54" name="CommandButton18"/>
      </mc:Fallback>
    </mc:AlternateContent>
    <mc:AlternateContent xmlns:mc="http://schemas.openxmlformats.org/markup-compatibility/2006">
      <mc:Choice Requires="x14">
        <control shapeId="1053" r:id="rId56" name="CommandButton19">
          <controlPr defaultSize="0" autoLine="0" r:id="rId57">
            <anchor moveWithCells="1">
              <from>
                <xdr:col>22</xdr:col>
                <xdr:colOff>28575</xdr:colOff>
                <xdr:row>18</xdr:row>
                <xdr:rowOff>123825</xdr:rowOff>
              </from>
              <to>
                <xdr:col>24</xdr:col>
                <xdr:colOff>419100</xdr:colOff>
                <xdr:row>20</xdr:row>
                <xdr:rowOff>104775</xdr:rowOff>
              </to>
            </anchor>
          </controlPr>
        </control>
      </mc:Choice>
      <mc:Fallback>
        <control shapeId="1053" r:id="rId56" name="CommandButton19"/>
      </mc:Fallback>
    </mc:AlternateContent>
    <mc:AlternateContent xmlns:mc="http://schemas.openxmlformats.org/markup-compatibility/2006">
      <mc:Choice Requires="x14">
        <control shapeId="1054" r:id="rId58" name="CommandButton20">
          <controlPr defaultSize="0" autoLine="0" r:id="rId59">
            <anchor moveWithCells="1">
              <from>
                <xdr:col>22</xdr:col>
                <xdr:colOff>28575</xdr:colOff>
                <xdr:row>20</xdr:row>
                <xdr:rowOff>142875</xdr:rowOff>
              </from>
              <to>
                <xdr:col>24</xdr:col>
                <xdr:colOff>419100</xdr:colOff>
                <xdr:row>22</xdr:row>
                <xdr:rowOff>123825</xdr:rowOff>
              </to>
            </anchor>
          </controlPr>
        </control>
      </mc:Choice>
      <mc:Fallback>
        <control shapeId="1054" r:id="rId58" name="CommandButton20"/>
      </mc:Fallback>
    </mc:AlternateContent>
    <mc:AlternateContent xmlns:mc="http://schemas.openxmlformats.org/markup-compatibility/2006">
      <mc:Choice Requires="x14">
        <control shapeId="1055" r:id="rId60" name="CommandButton21">
          <controlPr defaultSize="0" autoLine="0" r:id="rId61">
            <anchor moveWithCells="1">
              <from>
                <xdr:col>22</xdr:col>
                <xdr:colOff>28575</xdr:colOff>
                <xdr:row>22</xdr:row>
                <xdr:rowOff>142875</xdr:rowOff>
              </from>
              <to>
                <xdr:col>24</xdr:col>
                <xdr:colOff>419100</xdr:colOff>
                <xdr:row>36</xdr:row>
                <xdr:rowOff>161925</xdr:rowOff>
              </to>
            </anchor>
          </controlPr>
        </control>
      </mc:Choice>
      <mc:Fallback>
        <control shapeId="1055" r:id="rId60" name="CommandButton2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V35"/>
  <sheetViews>
    <sheetView zoomScaleNormal="100" workbookViewId="0">
      <pane xSplit="17" ySplit="13" topLeftCell="R14" activePane="bottomRight" state="frozen"/>
      <selection activeCell="X29" sqref="X29"/>
      <selection pane="topRight" activeCell="X29" sqref="X29"/>
      <selection pane="bottomLeft" activeCell="X29" sqref="X29"/>
      <selection pane="bottomRight" activeCell="S18" sqref="S18"/>
    </sheetView>
  </sheetViews>
  <sheetFormatPr defaultRowHeight="16.5"/>
  <cols>
    <col min="1" max="1" width="1.75" style="3" customWidth="1"/>
    <col min="2" max="2" width="11.125" style="3" customWidth="1"/>
    <col min="3" max="3" width="12.875" style="110" customWidth="1"/>
    <col min="4" max="4" width="12.125" style="3" customWidth="1"/>
    <col min="5" max="5" width="12.875" style="110" customWidth="1"/>
    <col min="6" max="6" width="12.125" style="3" customWidth="1"/>
    <col min="7" max="7" width="12.875" style="110" customWidth="1"/>
    <col min="8" max="8" width="9" style="3"/>
    <col min="9" max="9" width="1.375" style="3" customWidth="1"/>
    <col min="10" max="10" width="9" style="3"/>
    <col min="11" max="15" width="12.875" style="3" customWidth="1"/>
    <col min="16" max="16" width="10.5" style="3" customWidth="1"/>
    <col min="17" max="17" width="0.875" style="3" customWidth="1"/>
    <col min="18" max="19" width="7.25" style="3" customWidth="1"/>
    <col min="20" max="20" width="2" style="3" customWidth="1"/>
    <col min="21" max="16384" width="9" style="3"/>
  </cols>
  <sheetData>
    <row r="1" spans="1:22" s="97" customFormat="1" ht="28.5" customHeight="1" thickBot="1">
      <c r="A1" s="95"/>
      <c r="B1" s="95"/>
      <c r="C1" s="96" t="s">
        <v>621</v>
      </c>
      <c r="D1" s="95"/>
      <c r="E1" s="96" t="s">
        <v>622</v>
      </c>
      <c r="F1" s="95"/>
      <c r="G1" s="96" t="s">
        <v>623</v>
      </c>
      <c r="R1" s="235" t="s">
        <v>299</v>
      </c>
      <c r="S1" s="236"/>
      <c r="T1" s="236"/>
      <c r="U1" s="236"/>
      <c r="V1" s="237"/>
    </row>
    <row r="2" spans="1:22" s="97" customFormat="1" ht="9.75" customHeight="1">
      <c r="A2" s="98"/>
      <c r="B2" s="98"/>
      <c r="C2" s="99"/>
      <c r="D2" s="98"/>
      <c r="E2" s="100"/>
      <c r="F2" s="98"/>
      <c r="G2" s="101"/>
      <c r="H2" s="98"/>
      <c r="I2" s="98"/>
      <c r="J2" s="98"/>
      <c r="K2" s="98"/>
      <c r="L2" s="98"/>
      <c r="M2" s="98"/>
      <c r="N2" s="98"/>
      <c r="O2" s="98"/>
      <c r="P2" s="98"/>
      <c r="R2" s="102"/>
      <c r="S2" s="103"/>
      <c r="T2" s="103"/>
      <c r="U2" s="103"/>
      <c r="V2" s="104"/>
    </row>
    <row r="3" spans="1:22" ht="19.5">
      <c r="A3" s="105"/>
      <c r="B3" s="234" t="s">
        <v>300</v>
      </c>
      <c r="C3" s="234"/>
      <c r="D3" s="234"/>
      <c r="E3" s="234"/>
      <c r="F3" s="234"/>
      <c r="G3" s="234"/>
      <c r="H3" s="234"/>
      <c r="I3" s="105"/>
      <c r="J3" s="234" t="s">
        <v>301</v>
      </c>
      <c r="K3" s="234"/>
      <c r="L3" s="234"/>
      <c r="M3" s="234"/>
      <c r="N3" s="234"/>
      <c r="O3" s="234"/>
      <c r="P3" s="234"/>
      <c r="R3" s="238" t="str">
        <f>IF(C1&lt;&gt;"",C1," ")</f>
        <v>神達(3706)</v>
      </c>
      <c r="S3" s="239"/>
      <c r="T3" s="239"/>
      <c r="U3" s="239"/>
      <c r="V3" s="240"/>
    </row>
    <row r="4" spans="1:22">
      <c r="A4" s="105"/>
      <c r="B4" s="105"/>
      <c r="C4" s="106"/>
      <c r="D4" s="105"/>
      <c r="E4" s="106"/>
      <c r="F4" s="105"/>
      <c r="G4" s="106"/>
      <c r="H4" s="105"/>
      <c r="I4" s="105"/>
      <c r="J4" s="105"/>
      <c r="K4" s="105"/>
      <c r="L4" s="105"/>
      <c r="M4" s="105"/>
      <c r="N4" s="105"/>
      <c r="O4" s="105"/>
      <c r="P4" s="105"/>
      <c r="R4" s="241" t="str">
        <f>IF(E1&lt;&gt;"",E1,"")</f>
        <v>環天科(3499)</v>
      </c>
      <c r="S4" s="242"/>
      <c r="T4" s="242"/>
      <c r="U4" s="242"/>
      <c r="V4" s="243"/>
    </row>
    <row r="5" spans="1:22">
      <c r="A5" s="105"/>
      <c r="B5" s="105"/>
      <c r="C5" s="106"/>
      <c r="D5" s="105"/>
      <c r="E5" s="106"/>
      <c r="F5" s="105"/>
      <c r="G5" s="106"/>
      <c r="H5" s="105"/>
      <c r="I5" s="105"/>
      <c r="J5" s="105"/>
      <c r="K5" s="105"/>
      <c r="L5" s="105"/>
      <c r="M5" s="105"/>
      <c r="N5" s="105"/>
      <c r="O5" s="105"/>
      <c r="P5" s="105"/>
      <c r="R5" s="244" t="str">
        <f>IF(G1&lt;&gt;"",G1,"")</f>
        <v>鼎天(3306)</v>
      </c>
      <c r="S5" s="245"/>
      <c r="T5" s="245"/>
      <c r="U5" s="245"/>
      <c r="V5" s="246"/>
    </row>
    <row r="6" spans="1:22">
      <c r="A6" s="105"/>
      <c r="B6" s="105"/>
      <c r="C6" s="106"/>
      <c r="D6" s="105"/>
      <c r="E6" s="106"/>
      <c r="F6" s="105"/>
      <c r="G6" s="106"/>
      <c r="H6" s="105"/>
      <c r="I6" s="105"/>
      <c r="J6" s="105"/>
      <c r="K6" s="105"/>
      <c r="L6" s="105"/>
      <c r="M6" s="105"/>
      <c r="N6" s="105"/>
      <c r="O6" s="105"/>
      <c r="P6" s="105"/>
      <c r="R6" s="11"/>
      <c r="S6" s="12"/>
      <c r="T6" s="12"/>
      <c r="U6" s="12"/>
      <c r="V6" s="13"/>
    </row>
    <row r="7" spans="1:22">
      <c r="A7" s="105"/>
      <c r="B7" s="105"/>
      <c r="C7" s="106"/>
      <c r="D7" s="105"/>
      <c r="E7" s="106"/>
      <c r="F7" s="105"/>
      <c r="G7" s="106"/>
      <c r="H7" s="105"/>
      <c r="I7" s="105"/>
      <c r="J7" s="105"/>
      <c r="K7" s="105"/>
      <c r="L7" s="105"/>
      <c r="M7" s="105"/>
      <c r="N7" s="105"/>
      <c r="O7" s="105"/>
      <c r="P7" s="105"/>
      <c r="R7" s="11"/>
      <c r="S7" s="12"/>
      <c r="T7" s="12"/>
      <c r="U7" s="12"/>
      <c r="V7" s="13"/>
    </row>
    <row r="8" spans="1:22">
      <c r="A8" s="105"/>
      <c r="B8" s="105"/>
      <c r="C8" s="106"/>
      <c r="D8" s="105"/>
      <c r="E8" s="106"/>
      <c r="F8" s="105"/>
      <c r="G8" s="106"/>
      <c r="H8" s="105"/>
      <c r="I8" s="105"/>
      <c r="J8" s="105"/>
      <c r="K8" s="105"/>
      <c r="L8" s="105"/>
      <c r="M8" s="105"/>
      <c r="N8" s="105"/>
      <c r="O8" s="105"/>
      <c r="P8" s="105"/>
      <c r="R8" s="11"/>
      <c r="S8" s="12"/>
      <c r="T8" s="12"/>
      <c r="U8" s="12"/>
      <c r="V8" s="13"/>
    </row>
    <row r="9" spans="1:22">
      <c r="A9" s="105"/>
      <c r="B9" s="105"/>
      <c r="C9" s="106"/>
      <c r="D9" s="105"/>
      <c r="E9" s="106"/>
      <c r="F9" s="105"/>
      <c r="G9" s="106"/>
      <c r="H9" s="105"/>
      <c r="I9" s="105"/>
      <c r="J9" s="105"/>
      <c r="K9" s="105"/>
      <c r="L9" s="105"/>
      <c r="M9" s="105"/>
      <c r="N9" s="105"/>
      <c r="O9" s="105"/>
      <c r="P9" s="105"/>
      <c r="R9" s="11"/>
      <c r="S9" s="12"/>
      <c r="T9" s="12"/>
      <c r="U9" s="12"/>
      <c r="V9" s="13"/>
    </row>
    <row r="10" spans="1:22">
      <c r="A10" s="105"/>
      <c r="B10" s="105"/>
      <c r="C10" s="106"/>
      <c r="D10" s="105"/>
      <c r="E10" s="106"/>
      <c r="F10" s="105"/>
      <c r="G10" s="106"/>
      <c r="H10" s="105"/>
      <c r="I10" s="105"/>
      <c r="J10" s="105"/>
      <c r="K10" s="105"/>
      <c r="L10" s="105"/>
      <c r="M10" s="105"/>
      <c r="N10" s="105"/>
      <c r="O10" s="105"/>
      <c r="P10" s="105"/>
      <c r="R10" s="11"/>
      <c r="S10" s="12"/>
      <c r="T10" s="12"/>
      <c r="U10" s="12"/>
      <c r="V10" s="13"/>
    </row>
    <row r="11" spans="1:22">
      <c r="A11" s="105"/>
      <c r="B11" s="105"/>
      <c r="C11" s="106"/>
      <c r="D11" s="105"/>
      <c r="E11" s="106"/>
      <c r="F11" s="105"/>
      <c r="G11" s="106"/>
      <c r="H11" s="105"/>
      <c r="I11" s="105"/>
      <c r="J11" s="105"/>
      <c r="K11" s="105"/>
      <c r="L11" s="105"/>
      <c r="M11" s="105"/>
      <c r="N11" s="105"/>
      <c r="O11" s="105"/>
      <c r="P11" s="105"/>
      <c r="R11" s="11"/>
      <c r="S11" s="12"/>
      <c r="T11" s="12"/>
      <c r="U11" s="12"/>
      <c r="V11" s="13"/>
    </row>
    <row r="12" spans="1:22" ht="17.25" thickBot="1">
      <c r="A12" s="105"/>
      <c r="B12" s="105"/>
      <c r="C12" s="106"/>
      <c r="D12" s="105"/>
      <c r="E12" s="106"/>
      <c r="F12" s="105"/>
      <c r="G12" s="106"/>
      <c r="H12" s="105"/>
      <c r="I12" s="105"/>
      <c r="J12" s="105"/>
      <c r="K12" s="105"/>
      <c r="L12" s="105"/>
      <c r="M12" s="105"/>
      <c r="N12" s="105"/>
      <c r="O12" s="105"/>
      <c r="P12" s="105"/>
      <c r="R12" s="107"/>
      <c r="S12" s="108"/>
      <c r="T12" s="108"/>
      <c r="U12" s="108"/>
      <c r="V12" s="109"/>
    </row>
    <row r="13" spans="1:22" ht="17.25" thickBot="1">
      <c r="A13" s="105"/>
      <c r="B13" s="105"/>
      <c r="C13" s="106"/>
      <c r="D13" s="105"/>
      <c r="E13" s="106"/>
      <c r="F13" s="105"/>
      <c r="G13" s="106"/>
      <c r="H13" s="105"/>
      <c r="I13" s="105"/>
      <c r="J13" s="105"/>
      <c r="K13" s="105"/>
      <c r="L13" s="105"/>
      <c r="M13" s="105"/>
      <c r="N13" s="105"/>
      <c r="O13" s="105"/>
      <c r="P13" s="105"/>
    </row>
    <row r="14" spans="1:22" ht="19.5">
      <c r="A14" s="105"/>
      <c r="B14" s="234" t="s">
        <v>302</v>
      </c>
      <c r="C14" s="234"/>
      <c r="D14" s="234"/>
      <c r="E14" s="234"/>
      <c r="F14" s="234"/>
      <c r="G14" s="234"/>
      <c r="H14" s="234"/>
      <c r="I14" s="105"/>
      <c r="J14" s="234" t="s">
        <v>303</v>
      </c>
      <c r="K14" s="234"/>
      <c r="L14" s="234"/>
      <c r="M14" s="234"/>
      <c r="N14" s="234"/>
      <c r="O14" s="234"/>
      <c r="P14" s="234"/>
      <c r="R14" s="63"/>
      <c r="S14" s="1"/>
      <c r="T14" s="1"/>
      <c r="U14" s="1"/>
      <c r="V14" s="2"/>
    </row>
    <row r="15" spans="1:22">
      <c r="A15" s="105"/>
      <c r="B15" s="105"/>
      <c r="C15" s="106"/>
      <c r="D15" s="105"/>
      <c r="E15" s="106"/>
      <c r="F15" s="105"/>
      <c r="G15" s="106"/>
      <c r="H15" s="105"/>
      <c r="I15" s="105"/>
      <c r="J15" s="105"/>
      <c r="K15" s="105"/>
      <c r="L15" s="105"/>
      <c r="M15" s="105"/>
      <c r="N15" s="105"/>
      <c r="O15" s="105"/>
      <c r="P15" s="105"/>
      <c r="R15" s="11"/>
      <c r="S15" s="12"/>
      <c r="T15" s="12"/>
      <c r="U15" s="12"/>
      <c r="V15" s="13"/>
    </row>
    <row r="16" spans="1:22">
      <c r="A16" s="105"/>
      <c r="B16" s="105"/>
      <c r="C16" s="106"/>
      <c r="D16" s="105"/>
      <c r="E16" s="106"/>
      <c r="F16" s="105"/>
      <c r="G16" s="106"/>
      <c r="H16" s="105"/>
      <c r="I16" s="105"/>
      <c r="J16" s="105"/>
      <c r="K16" s="105"/>
      <c r="L16" s="105"/>
      <c r="M16" s="105"/>
      <c r="N16" s="105"/>
      <c r="O16" s="105"/>
      <c r="P16" s="105"/>
      <c r="R16" s="11"/>
      <c r="S16" s="12"/>
      <c r="T16" s="12"/>
      <c r="U16" s="12"/>
      <c r="V16" s="13"/>
    </row>
    <row r="17" spans="1:22">
      <c r="A17" s="105"/>
      <c r="B17" s="105"/>
      <c r="C17" s="106"/>
      <c r="D17" s="105"/>
      <c r="E17" s="106"/>
      <c r="F17" s="105"/>
      <c r="G17" s="106"/>
      <c r="H17" s="105"/>
      <c r="I17" s="105"/>
      <c r="J17" s="105"/>
      <c r="K17" s="105"/>
      <c r="L17" s="105"/>
      <c r="M17" s="105"/>
      <c r="N17" s="105"/>
      <c r="O17" s="105"/>
      <c r="P17" s="105"/>
      <c r="R17" s="11"/>
      <c r="S17" s="12"/>
      <c r="T17" s="12"/>
      <c r="U17" s="12"/>
      <c r="V17" s="13"/>
    </row>
    <row r="18" spans="1:22">
      <c r="A18" s="105"/>
      <c r="B18" s="105"/>
      <c r="C18" s="106"/>
      <c r="D18" s="105"/>
      <c r="E18" s="106"/>
      <c r="F18" s="105"/>
      <c r="G18" s="106"/>
      <c r="H18" s="105"/>
      <c r="I18" s="105"/>
      <c r="J18" s="105"/>
      <c r="K18" s="105"/>
      <c r="L18" s="105"/>
      <c r="M18" s="105"/>
      <c r="N18" s="105"/>
      <c r="O18" s="105"/>
      <c r="P18" s="105"/>
      <c r="R18" s="11"/>
      <c r="S18" s="12"/>
      <c r="T18" s="12"/>
      <c r="U18" s="12"/>
      <c r="V18" s="13"/>
    </row>
    <row r="19" spans="1:22">
      <c r="A19" s="105"/>
      <c r="B19" s="105"/>
      <c r="C19" s="106"/>
      <c r="D19" s="105"/>
      <c r="E19" s="106"/>
      <c r="F19" s="105"/>
      <c r="G19" s="106"/>
      <c r="H19" s="105"/>
      <c r="I19" s="105"/>
      <c r="J19" s="105"/>
      <c r="K19" s="105"/>
      <c r="L19" s="105"/>
      <c r="M19" s="105"/>
      <c r="N19" s="105"/>
      <c r="O19" s="105"/>
      <c r="P19" s="105"/>
      <c r="R19" s="11"/>
      <c r="S19" s="12"/>
      <c r="T19" s="12"/>
      <c r="U19" s="12"/>
      <c r="V19" s="13"/>
    </row>
    <row r="20" spans="1:22">
      <c r="A20" s="105"/>
      <c r="B20" s="105"/>
      <c r="C20" s="106"/>
      <c r="D20" s="105"/>
      <c r="E20" s="106"/>
      <c r="F20" s="105"/>
      <c r="G20" s="106"/>
      <c r="H20" s="105"/>
      <c r="I20" s="105"/>
      <c r="J20" s="105"/>
      <c r="K20" s="105"/>
      <c r="L20" s="105"/>
      <c r="M20" s="105"/>
      <c r="N20" s="105"/>
      <c r="O20" s="105"/>
      <c r="P20" s="105"/>
      <c r="R20" s="11"/>
      <c r="S20" s="12"/>
      <c r="T20" s="12"/>
      <c r="U20" s="12"/>
      <c r="V20" s="13"/>
    </row>
    <row r="21" spans="1:22">
      <c r="A21" s="105"/>
      <c r="B21" s="105"/>
      <c r="C21" s="106"/>
      <c r="D21" s="105"/>
      <c r="E21" s="106"/>
      <c r="F21" s="105"/>
      <c r="G21" s="106"/>
      <c r="H21" s="105"/>
      <c r="I21" s="105"/>
      <c r="J21" s="105"/>
      <c r="K21" s="105"/>
      <c r="L21" s="105"/>
      <c r="M21" s="105"/>
      <c r="N21" s="105"/>
      <c r="O21" s="105"/>
      <c r="P21" s="105"/>
      <c r="R21" s="11"/>
      <c r="S21" s="12"/>
      <c r="T21" s="12"/>
      <c r="U21" s="12"/>
      <c r="V21" s="13"/>
    </row>
    <row r="22" spans="1:22">
      <c r="A22" s="105"/>
      <c r="B22" s="105"/>
      <c r="C22" s="106"/>
      <c r="D22" s="105"/>
      <c r="E22" s="106"/>
      <c r="F22" s="105"/>
      <c r="G22" s="106"/>
      <c r="H22" s="105"/>
      <c r="I22" s="105"/>
      <c r="J22" s="105"/>
      <c r="K22" s="105"/>
      <c r="L22" s="105"/>
      <c r="M22" s="105"/>
      <c r="N22" s="105"/>
      <c r="O22" s="105"/>
      <c r="P22" s="105"/>
      <c r="R22" s="11"/>
      <c r="S22" s="12"/>
      <c r="T22" s="12"/>
      <c r="U22" s="12"/>
      <c r="V22" s="13"/>
    </row>
    <row r="23" spans="1:22">
      <c r="A23" s="105"/>
      <c r="B23" s="105"/>
      <c r="C23" s="106"/>
      <c r="D23" s="105"/>
      <c r="E23" s="106"/>
      <c r="F23" s="105"/>
      <c r="G23" s="106"/>
      <c r="H23" s="105"/>
      <c r="I23" s="105"/>
      <c r="J23" s="105"/>
      <c r="K23" s="105"/>
      <c r="L23" s="105"/>
      <c r="M23" s="105"/>
      <c r="N23" s="105"/>
      <c r="O23" s="105"/>
      <c r="P23" s="105"/>
      <c r="R23" s="11"/>
      <c r="S23" s="12"/>
      <c r="T23" s="12"/>
      <c r="U23" s="12"/>
      <c r="V23" s="13"/>
    </row>
    <row r="24" spans="1:22">
      <c r="A24" s="105"/>
      <c r="B24" s="105"/>
      <c r="C24" s="106"/>
      <c r="D24" s="105"/>
      <c r="E24" s="106"/>
      <c r="F24" s="105"/>
      <c r="G24" s="106"/>
      <c r="H24" s="105"/>
      <c r="I24" s="105"/>
      <c r="J24" s="105"/>
      <c r="K24" s="105"/>
      <c r="L24" s="105"/>
      <c r="M24" s="105"/>
      <c r="N24" s="105"/>
      <c r="O24" s="105"/>
      <c r="P24" s="105"/>
      <c r="R24" s="11"/>
      <c r="S24" s="12"/>
      <c r="T24" s="12"/>
      <c r="U24" s="12"/>
      <c r="V24" s="13"/>
    </row>
    <row r="25" spans="1:22" ht="19.5">
      <c r="A25" s="105"/>
      <c r="B25" s="234" t="s">
        <v>304</v>
      </c>
      <c r="C25" s="234"/>
      <c r="D25" s="234"/>
      <c r="E25" s="234"/>
      <c r="F25" s="234"/>
      <c r="G25" s="234"/>
      <c r="H25" s="234"/>
      <c r="I25" s="105"/>
      <c r="J25" s="234" t="s">
        <v>305</v>
      </c>
      <c r="K25" s="234"/>
      <c r="L25" s="234"/>
      <c r="M25" s="234"/>
      <c r="N25" s="234"/>
      <c r="O25" s="234"/>
      <c r="P25" s="234"/>
      <c r="R25" s="11"/>
      <c r="S25" s="12"/>
      <c r="T25" s="12"/>
      <c r="U25" s="12"/>
      <c r="V25" s="13"/>
    </row>
    <row r="26" spans="1:22">
      <c r="A26" s="105"/>
      <c r="B26" s="105"/>
      <c r="C26" s="106"/>
      <c r="D26" s="105"/>
      <c r="E26" s="106"/>
      <c r="F26" s="105"/>
      <c r="G26" s="106"/>
      <c r="H26" s="105"/>
      <c r="I26" s="105"/>
      <c r="J26" s="105"/>
      <c r="K26" s="105"/>
      <c r="L26" s="105"/>
      <c r="M26" s="105"/>
      <c r="N26" s="105"/>
      <c r="O26" s="105"/>
      <c r="P26" s="105"/>
      <c r="R26" s="11"/>
      <c r="S26" s="12"/>
      <c r="T26" s="12"/>
      <c r="U26" s="12"/>
      <c r="V26" s="13"/>
    </row>
    <row r="27" spans="1:22">
      <c r="A27" s="105"/>
      <c r="B27" s="105"/>
      <c r="C27" s="106"/>
      <c r="D27" s="105"/>
      <c r="E27" s="106"/>
      <c r="F27" s="105"/>
      <c r="G27" s="106"/>
      <c r="H27" s="105"/>
      <c r="I27" s="105"/>
      <c r="J27" s="105"/>
      <c r="K27" s="105"/>
      <c r="L27" s="105"/>
      <c r="M27" s="105"/>
      <c r="N27" s="105"/>
      <c r="O27" s="105"/>
      <c r="P27" s="105"/>
      <c r="R27" s="11"/>
      <c r="S27" s="12"/>
      <c r="T27" s="12"/>
      <c r="U27" s="12"/>
      <c r="V27" s="13"/>
    </row>
    <row r="28" spans="1:22">
      <c r="A28" s="105"/>
      <c r="B28" s="105"/>
      <c r="C28" s="106"/>
      <c r="D28" s="105"/>
      <c r="E28" s="106"/>
      <c r="F28" s="105"/>
      <c r="G28" s="106"/>
      <c r="H28" s="105"/>
      <c r="I28" s="105"/>
      <c r="J28" s="105"/>
      <c r="K28" s="105"/>
      <c r="L28" s="105"/>
      <c r="M28" s="105"/>
      <c r="N28" s="105"/>
      <c r="O28" s="105"/>
      <c r="P28" s="105"/>
      <c r="R28" s="11"/>
      <c r="S28" s="12"/>
      <c r="T28" s="12"/>
      <c r="U28" s="12"/>
      <c r="V28" s="13"/>
    </row>
    <row r="29" spans="1:22">
      <c r="A29" s="105"/>
      <c r="B29" s="105"/>
      <c r="C29" s="106"/>
      <c r="D29" s="105"/>
      <c r="E29" s="106"/>
      <c r="F29" s="105"/>
      <c r="G29" s="106"/>
      <c r="H29" s="105"/>
      <c r="I29" s="105"/>
      <c r="J29" s="105"/>
      <c r="K29" s="105"/>
      <c r="L29" s="105"/>
      <c r="M29" s="105"/>
      <c r="N29" s="105"/>
      <c r="O29" s="105"/>
      <c r="P29" s="105"/>
      <c r="R29" s="11"/>
      <c r="S29" s="12"/>
      <c r="T29" s="12"/>
      <c r="U29" s="12"/>
      <c r="V29" s="13"/>
    </row>
    <row r="30" spans="1:22">
      <c r="A30" s="105"/>
      <c r="B30" s="105"/>
      <c r="C30" s="106"/>
      <c r="D30" s="105"/>
      <c r="E30" s="106"/>
      <c r="F30" s="105"/>
      <c r="G30" s="106"/>
      <c r="H30" s="105"/>
      <c r="I30" s="105"/>
      <c r="J30" s="105"/>
      <c r="K30" s="105"/>
      <c r="L30" s="105"/>
      <c r="M30" s="105"/>
      <c r="N30" s="105"/>
      <c r="O30" s="105"/>
      <c r="P30" s="105"/>
      <c r="R30" s="11"/>
      <c r="S30" s="12"/>
      <c r="T30" s="12"/>
      <c r="U30" s="12"/>
      <c r="V30" s="13"/>
    </row>
    <row r="31" spans="1:22">
      <c r="A31" s="105"/>
      <c r="B31" s="105"/>
      <c r="C31" s="106"/>
      <c r="D31" s="105"/>
      <c r="E31" s="106"/>
      <c r="F31" s="105"/>
      <c r="G31" s="106"/>
      <c r="H31" s="105"/>
      <c r="I31" s="105"/>
      <c r="J31" s="105"/>
      <c r="K31" s="105"/>
      <c r="L31" s="105"/>
      <c r="M31" s="105"/>
      <c r="N31" s="105"/>
      <c r="O31" s="105"/>
      <c r="P31" s="105"/>
      <c r="R31" s="11"/>
      <c r="S31" s="12"/>
      <c r="T31" s="12"/>
      <c r="U31" s="12"/>
      <c r="V31" s="13"/>
    </row>
    <row r="32" spans="1:22">
      <c r="A32" s="105"/>
      <c r="B32" s="105"/>
      <c r="C32" s="106"/>
      <c r="D32" s="105"/>
      <c r="E32" s="106"/>
      <c r="F32" s="105"/>
      <c r="G32" s="106"/>
      <c r="H32" s="105"/>
      <c r="I32" s="105"/>
      <c r="J32" s="105"/>
      <c r="K32" s="105"/>
      <c r="L32" s="105"/>
      <c r="M32" s="105"/>
      <c r="N32" s="105"/>
      <c r="O32" s="105"/>
      <c r="P32" s="105"/>
      <c r="R32" s="11"/>
      <c r="S32" s="12"/>
      <c r="T32" s="12"/>
      <c r="U32" s="12"/>
      <c r="V32" s="13"/>
    </row>
    <row r="33" spans="1:22">
      <c r="A33" s="105"/>
      <c r="B33" s="105"/>
      <c r="C33" s="106"/>
      <c r="D33" s="105"/>
      <c r="E33" s="106"/>
      <c r="F33" s="105"/>
      <c r="G33" s="106"/>
      <c r="H33" s="105"/>
      <c r="I33" s="105"/>
      <c r="J33" s="105"/>
      <c r="K33" s="105"/>
      <c r="L33" s="105"/>
      <c r="M33" s="105"/>
      <c r="N33" s="105"/>
      <c r="O33" s="105"/>
      <c r="P33" s="105"/>
      <c r="R33" s="11"/>
      <c r="S33" s="12"/>
      <c r="T33" s="12"/>
      <c r="U33" s="12"/>
      <c r="V33" s="13"/>
    </row>
    <row r="34" spans="1:22">
      <c r="A34" s="105"/>
      <c r="B34" s="105"/>
      <c r="C34" s="106"/>
      <c r="D34" s="105"/>
      <c r="E34" s="106"/>
      <c r="F34" s="105"/>
      <c r="G34" s="106"/>
      <c r="H34" s="105"/>
      <c r="I34" s="105"/>
      <c r="J34" s="105"/>
      <c r="K34" s="105"/>
      <c r="L34" s="105"/>
      <c r="M34" s="105"/>
      <c r="N34" s="105"/>
      <c r="O34" s="105"/>
      <c r="P34" s="105"/>
      <c r="R34" s="11"/>
      <c r="S34" s="12"/>
      <c r="T34" s="12"/>
      <c r="U34" s="12"/>
      <c r="V34" s="13"/>
    </row>
    <row r="35" spans="1:22" ht="17.25" thickBot="1">
      <c r="A35" s="105"/>
      <c r="B35" s="105"/>
      <c r="C35" s="106"/>
      <c r="D35" s="105"/>
      <c r="E35" s="106"/>
      <c r="F35" s="105"/>
      <c r="G35" s="106"/>
      <c r="H35" s="105"/>
      <c r="I35" s="105"/>
      <c r="J35" s="105"/>
      <c r="K35" s="105"/>
      <c r="L35" s="105"/>
      <c r="M35" s="105"/>
      <c r="N35" s="105"/>
      <c r="O35" s="105"/>
      <c r="P35" s="105"/>
      <c r="R35" s="107"/>
      <c r="S35" s="108"/>
      <c r="T35" s="108"/>
      <c r="U35" s="108"/>
      <c r="V35" s="109"/>
    </row>
  </sheetData>
  <sheetProtection sheet="1" objects="1" scenarios="1"/>
  <mergeCells count="10">
    <mergeCell ref="B14:H14"/>
    <mergeCell ref="J14:P14"/>
    <mergeCell ref="B25:H25"/>
    <mergeCell ref="J25:P25"/>
    <mergeCell ref="R1:V1"/>
    <mergeCell ref="B3:H3"/>
    <mergeCell ref="J3:P3"/>
    <mergeCell ref="R3:V3"/>
    <mergeCell ref="R4:V4"/>
    <mergeCell ref="R5:V5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7169" r:id="rId4" name="ComboBox1">
          <controlPr defaultSize="0" autoLine="0" r:id="rId5">
            <anchor moveWithCells="1">
              <from>
                <xdr:col>1</xdr:col>
                <xdr:colOff>19050</xdr:colOff>
                <xdr:row>0</xdr:row>
                <xdr:rowOff>47625</xdr:rowOff>
              </from>
              <to>
                <xdr:col>2</xdr:col>
                <xdr:colOff>38100</xdr:colOff>
                <xdr:row>1</xdr:row>
                <xdr:rowOff>0</xdr:rowOff>
              </to>
            </anchor>
          </controlPr>
        </control>
      </mc:Choice>
      <mc:Fallback>
        <control shapeId="7169" r:id="rId4" name="ComboBox1"/>
      </mc:Fallback>
    </mc:AlternateContent>
    <mc:AlternateContent xmlns:mc="http://schemas.openxmlformats.org/markup-compatibility/2006">
      <mc:Choice Requires="x14">
        <control shapeId="7170" r:id="rId6" name="ComboBox2">
          <controlPr defaultSize="0" autoLine="0" r:id="rId7">
            <anchor moveWithCells="1">
              <from>
                <xdr:col>3</xdr:col>
                <xdr:colOff>47625</xdr:colOff>
                <xdr:row>0</xdr:row>
                <xdr:rowOff>47625</xdr:rowOff>
              </from>
              <to>
                <xdr:col>3</xdr:col>
                <xdr:colOff>914400</xdr:colOff>
                <xdr:row>1</xdr:row>
                <xdr:rowOff>0</xdr:rowOff>
              </to>
            </anchor>
          </controlPr>
        </control>
      </mc:Choice>
      <mc:Fallback>
        <control shapeId="7170" r:id="rId6" name="ComboBox2"/>
      </mc:Fallback>
    </mc:AlternateContent>
    <mc:AlternateContent xmlns:mc="http://schemas.openxmlformats.org/markup-compatibility/2006">
      <mc:Choice Requires="x14">
        <control shapeId="7171" r:id="rId8" name="ComboBox3">
          <controlPr defaultSize="0" autoLine="0" r:id="rId9">
            <anchor moveWithCells="1">
              <from>
                <xdr:col>5</xdr:col>
                <xdr:colOff>19050</xdr:colOff>
                <xdr:row>0</xdr:row>
                <xdr:rowOff>47625</xdr:rowOff>
              </from>
              <to>
                <xdr:col>5</xdr:col>
                <xdr:colOff>885825</xdr:colOff>
                <xdr:row>1</xdr:row>
                <xdr:rowOff>0</xdr:rowOff>
              </to>
            </anchor>
          </controlPr>
        </control>
      </mc:Choice>
      <mc:Fallback>
        <control shapeId="7171" r:id="rId8" name="ComboBox3"/>
      </mc:Fallback>
    </mc:AlternateContent>
    <mc:AlternateContent xmlns:mc="http://schemas.openxmlformats.org/markup-compatibility/2006">
      <mc:Choice Requires="x14">
        <control shapeId="7172" r:id="rId10" name="CommandButton1">
          <controlPr defaultSize="0" autoLine="0" r:id="rId11">
            <anchor moveWithCells="1">
              <from>
                <xdr:col>7</xdr:col>
                <xdr:colOff>0</xdr:colOff>
                <xdr:row>0</xdr:row>
                <xdr:rowOff>38100</xdr:rowOff>
              </from>
              <to>
                <xdr:col>8</xdr:col>
                <xdr:colOff>85725</xdr:colOff>
                <xdr:row>0</xdr:row>
                <xdr:rowOff>342900</xdr:rowOff>
              </to>
            </anchor>
          </controlPr>
        </control>
      </mc:Choice>
      <mc:Fallback>
        <control shapeId="7172" r:id="rId10" name="CommandButton1"/>
      </mc:Fallback>
    </mc:AlternateContent>
    <mc:AlternateContent xmlns:mc="http://schemas.openxmlformats.org/markup-compatibility/2006">
      <mc:Choice Requires="x14">
        <control shapeId="7173" r:id="rId12" name="CommandButton2">
          <controlPr defaultSize="0" autoLine="0" r:id="rId13">
            <anchor moveWithCells="1">
              <from>
                <xdr:col>9</xdr:col>
                <xdr:colOff>95250</xdr:colOff>
                <xdr:row>0</xdr:row>
                <xdr:rowOff>38100</xdr:rowOff>
              </from>
              <to>
                <xdr:col>10</xdr:col>
                <xdr:colOff>619125</xdr:colOff>
                <xdr:row>0</xdr:row>
                <xdr:rowOff>342900</xdr:rowOff>
              </to>
            </anchor>
          </controlPr>
        </control>
      </mc:Choice>
      <mc:Fallback>
        <control shapeId="7173" r:id="rId12" name="CommandButton2"/>
      </mc:Fallback>
    </mc:AlternateContent>
    <mc:AlternateContent xmlns:mc="http://schemas.openxmlformats.org/markup-compatibility/2006">
      <mc:Choice Requires="x14">
        <control shapeId="7174" r:id="rId14" name="CommandButton3">
          <controlPr defaultSize="0" autoLine="0" r:id="rId15">
            <anchor moveWithCells="1">
              <from>
                <xdr:col>10</xdr:col>
                <xdr:colOff>685800</xdr:colOff>
                <xdr:row>0</xdr:row>
                <xdr:rowOff>38100</xdr:rowOff>
              </from>
              <to>
                <xdr:col>11</xdr:col>
                <xdr:colOff>914400</xdr:colOff>
                <xdr:row>0</xdr:row>
                <xdr:rowOff>342900</xdr:rowOff>
              </to>
            </anchor>
          </controlPr>
        </control>
      </mc:Choice>
      <mc:Fallback>
        <control shapeId="7174" r:id="rId14" name="CommandButton3"/>
      </mc:Fallback>
    </mc:AlternateContent>
    <mc:AlternateContent xmlns:mc="http://schemas.openxmlformats.org/markup-compatibility/2006">
      <mc:Choice Requires="x14">
        <control shapeId="7175" r:id="rId16" name="CommandButton4">
          <controlPr defaultSize="0" autoLine="0" r:id="rId17">
            <anchor moveWithCells="1">
              <from>
                <xdr:col>11</xdr:col>
                <xdr:colOff>971550</xdr:colOff>
                <xdr:row>0</xdr:row>
                <xdr:rowOff>38100</xdr:rowOff>
              </from>
              <to>
                <xdr:col>13</xdr:col>
                <xdr:colOff>219075</xdr:colOff>
                <xdr:row>0</xdr:row>
                <xdr:rowOff>342900</xdr:rowOff>
              </to>
            </anchor>
          </controlPr>
        </control>
      </mc:Choice>
      <mc:Fallback>
        <control shapeId="7175" r:id="rId16" name="CommandButton4"/>
      </mc:Fallback>
    </mc:AlternateContent>
    <mc:AlternateContent xmlns:mc="http://schemas.openxmlformats.org/markup-compatibility/2006">
      <mc:Choice Requires="x14">
        <control shapeId="7176" r:id="rId18" name="CommandButton5">
          <controlPr defaultSize="0" autoLine="0" r:id="rId19">
            <anchor moveWithCells="1">
              <from>
                <xdr:col>13</xdr:col>
                <xdr:colOff>266700</xdr:colOff>
                <xdr:row>0</xdr:row>
                <xdr:rowOff>38100</xdr:rowOff>
              </from>
              <to>
                <xdr:col>14</xdr:col>
                <xdr:colOff>495300</xdr:colOff>
                <xdr:row>0</xdr:row>
                <xdr:rowOff>342900</xdr:rowOff>
              </to>
            </anchor>
          </controlPr>
        </control>
      </mc:Choice>
      <mc:Fallback>
        <control shapeId="7176" r:id="rId18" name="CommandButton5"/>
      </mc:Fallback>
    </mc:AlternateContent>
    <mc:AlternateContent xmlns:mc="http://schemas.openxmlformats.org/markup-compatibility/2006">
      <mc:Choice Requires="x14">
        <control shapeId="7177" r:id="rId20" name="CommandButton6">
          <controlPr defaultSize="0" autoLine="0" r:id="rId21">
            <anchor moveWithCells="1">
              <from>
                <xdr:col>14</xdr:col>
                <xdr:colOff>561975</xdr:colOff>
                <xdr:row>0</xdr:row>
                <xdr:rowOff>38100</xdr:rowOff>
              </from>
              <to>
                <xdr:col>15</xdr:col>
                <xdr:colOff>790575</xdr:colOff>
                <xdr:row>0</xdr:row>
                <xdr:rowOff>342900</xdr:rowOff>
              </to>
            </anchor>
          </controlPr>
        </control>
      </mc:Choice>
      <mc:Fallback>
        <control shapeId="7177" r:id="rId20" name="CommandButton6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篩股系統"/>
  <dimension ref="A1:AB1544"/>
  <sheetViews>
    <sheetView zoomScale="80" zoomScaleNormal="80" workbookViewId="0">
      <pane xSplit="1" ySplit="1" topLeftCell="B2" activePane="bottomRight" state="frozen"/>
      <selection activeCell="D22" sqref="D22"/>
      <selection pane="topRight" activeCell="D22" sqref="D22"/>
      <selection pane="bottomLeft" activeCell="D22" sqref="D22"/>
      <selection pane="bottomRight" activeCell="G25" sqref="G25"/>
    </sheetView>
  </sheetViews>
  <sheetFormatPr defaultRowHeight="16.5"/>
  <cols>
    <col min="1" max="1" width="9.625" style="87" bestFit="1" customWidth="1"/>
    <col min="2" max="2" width="12.875" bestFit="1" customWidth="1"/>
    <col min="3" max="5" width="11" customWidth="1"/>
    <col min="6" max="6" width="13.375" bestFit="1" customWidth="1"/>
    <col min="7" max="10" width="11" customWidth="1"/>
    <col min="11" max="11" width="10.5" bestFit="1" customWidth="1"/>
    <col min="12" max="15" width="11" customWidth="1"/>
    <col min="16" max="18" width="12.125" customWidth="1"/>
    <col min="19" max="19" width="11.125" customWidth="1"/>
    <col min="20" max="26" width="12.125" customWidth="1"/>
    <col min="27" max="16384" width="9" style="85"/>
  </cols>
  <sheetData>
    <row r="1" spans="1:28" ht="33.75" customHeight="1">
      <c r="A1" s="84" t="s">
        <v>226</v>
      </c>
      <c r="B1" t="s">
        <v>638</v>
      </c>
      <c r="AB1" s="86"/>
    </row>
    <row r="2" spans="1:28">
      <c r="A2" s="87">
        <v>1101</v>
      </c>
      <c r="B2" s="189" t="s">
        <v>639</v>
      </c>
      <c r="C2" s="189">
        <v>1413</v>
      </c>
      <c r="D2" s="94" t="s">
        <v>287</v>
      </c>
      <c r="E2" s="94" t="s">
        <v>288</v>
      </c>
      <c r="F2" s="94" t="s">
        <v>289</v>
      </c>
      <c r="G2" s="94" t="s">
        <v>290</v>
      </c>
      <c r="H2" s="94" t="s">
        <v>291</v>
      </c>
      <c r="I2" s="94" t="s">
        <v>292</v>
      </c>
      <c r="J2" s="94" t="s">
        <v>293</v>
      </c>
      <c r="K2" s="94" t="s">
        <v>294</v>
      </c>
      <c r="L2" s="94" t="s">
        <v>295</v>
      </c>
    </row>
    <row r="3" spans="1:28">
      <c r="A3" s="87">
        <v>1102</v>
      </c>
      <c r="B3" s="189" t="s">
        <v>640</v>
      </c>
      <c r="C3" s="189">
        <v>2383</v>
      </c>
      <c r="D3" s="94" t="s">
        <v>296</v>
      </c>
      <c r="E3" s="94">
        <v>69.8</v>
      </c>
      <c r="F3" s="94">
        <v>69.5</v>
      </c>
      <c r="G3" s="94">
        <v>69.84</v>
      </c>
      <c r="H3" s="94">
        <v>75.55</v>
      </c>
      <c r="I3" s="94">
        <v>83.65</v>
      </c>
      <c r="J3" s="94">
        <v>93.68</v>
      </c>
      <c r="K3" s="94">
        <v>101.11</v>
      </c>
      <c r="L3" s="94">
        <v>105.32</v>
      </c>
    </row>
    <row r="4" spans="1:28">
      <c r="A4" s="87">
        <v>1103</v>
      </c>
      <c r="B4" s="189" t="s">
        <v>641</v>
      </c>
      <c r="C4" s="189">
        <v>2485</v>
      </c>
      <c r="D4" s="94" t="s">
        <v>297</v>
      </c>
      <c r="E4" s="94">
        <v>69.900000000000006</v>
      </c>
      <c r="F4" s="94">
        <v>69.7</v>
      </c>
      <c r="G4" s="94">
        <v>70.239999999999995</v>
      </c>
      <c r="H4" s="94">
        <v>77.87</v>
      </c>
      <c r="I4" s="94">
        <v>84.72</v>
      </c>
      <c r="J4" s="94">
        <v>94.22</v>
      </c>
      <c r="K4" s="94">
        <v>101.36</v>
      </c>
      <c r="L4" s="94">
        <v>105.53</v>
      </c>
    </row>
    <row r="5" spans="1:28">
      <c r="A5" s="87">
        <v>1104</v>
      </c>
      <c r="B5" s="189" t="s">
        <v>642</v>
      </c>
      <c r="C5" s="189">
        <v>2515</v>
      </c>
      <c r="D5" s="94" t="s">
        <v>203</v>
      </c>
      <c r="E5" s="94">
        <v>-0.1</v>
      </c>
      <c r="F5" s="94">
        <v>-0.2</v>
      </c>
      <c r="G5" s="94">
        <v>-0.4</v>
      </c>
      <c r="H5" s="94">
        <v>-2.3199999999999998</v>
      </c>
      <c r="I5" s="94">
        <v>-1.07</v>
      </c>
      <c r="J5" s="94">
        <v>-0.54</v>
      </c>
      <c r="K5" s="94">
        <v>-0.25</v>
      </c>
      <c r="L5" s="94">
        <v>-0.21</v>
      </c>
    </row>
    <row r="6" spans="1:28">
      <c r="A6" s="87">
        <v>1108</v>
      </c>
      <c r="B6" s="189" t="s">
        <v>643</v>
      </c>
      <c r="C6" s="189">
        <v>4105</v>
      </c>
    </row>
    <row r="7" spans="1:28">
      <c r="A7" s="87">
        <v>1109</v>
      </c>
      <c r="B7" s="189" t="s">
        <v>644</v>
      </c>
      <c r="C7" s="189">
        <v>4119</v>
      </c>
    </row>
    <row r="8" spans="1:28">
      <c r="A8" s="87">
        <v>1110</v>
      </c>
      <c r="B8" s="189" t="s">
        <v>645</v>
      </c>
      <c r="C8" s="189">
        <v>6180</v>
      </c>
    </row>
    <row r="9" spans="1:28">
      <c r="A9" s="87">
        <v>1201</v>
      </c>
      <c r="B9" s="189" t="s">
        <v>646</v>
      </c>
    </row>
    <row r="10" spans="1:28">
      <c r="A10" s="87">
        <v>1203</v>
      </c>
      <c r="B10" s="189" t="s">
        <v>647</v>
      </c>
    </row>
    <row r="11" spans="1:28">
      <c r="A11" s="87">
        <v>1213</v>
      </c>
      <c r="B11" s="189" t="s">
        <v>648</v>
      </c>
    </row>
    <row r="12" spans="1:28">
      <c r="A12" s="87">
        <v>1215</v>
      </c>
      <c r="B12" s="189" t="s">
        <v>649</v>
      </c>
    </row>
    <row r="13" spans="1:28">
      <c r="A13" s="87">
        <v>1216</v>
      </c>
      <c r="B13" s="189" t="s">
        <v>650</v>
      </c>
    </row>
    <row r="14" spans="1:28">
      <c r="A14" s="87">
        <v>1217</v>
      </c>
      <c r="B14" s="189" t="s">
        <v>651</v>
      </c>
    </row>
    <row r="15" spans="1:28">
      <c r="A15" s="87">
        <v>1218</v>
      </c>
      <c r="B15" s="189" t="s">
        <v>652</v>
      </c>
    </row>
    <row r="16" spans="1:28">
      <c r="A16" s="87">
        <v>1219</v>
      </c>
      <c r="B16" s="189" t="s">
        <v>653</v>
      </c>
    </row>
    <row r="17" spans="1:2">
      <c r="A17" s="87">
        <v>1220</v>
      </c>
      <c r="B17" s="189" t="s">
        <v>654</v>
      </c>
    </row>
    <row r="18" spans="1:2">
      <c r="A18" s="87">
        <v>1225</v>
      </c>
      <c r="B18" s="189" t="s">
        <v>655</v>
      </c>
    </row>
    <row r="19" spans="1:2">
      <c r="A19" s="87">
        <v>1227</v>
      </c>
      <c r="B19" s="189" t="s">
        <v>656</v>
      </c>
    </row>
    <row r="20" spans="1:2">
      <c r="A20" s="87">
        <v>1229</v>
      </c>
      <c r="B20" s="189" t="s">
        <v>657</v>
      </c>
    </row>
    <row r="21" spans="1:2">
      <c r="A21" s="87">
        <v>1231</v>
      </c>
      <c r="B21" s="189" t="s">
        <v>658</v>
      </c>
    </row>
    <row r="22" spans="1:2">
      <c r="A22" s="87">
        <v>1232</v>
      </c>
      <c r="B22" s="189" t="s">
        <v>659</v>
      </c>
    </row>
    <row r="23" spans="1:2">
      <c r="A23" s="87">
        <v>1233</v>
      </c>
      <c r="B23" s="189" t="s">
        <v>679</v>
      </c>
    </row>
    <row r="24" spans="1:2">
      <c r="A24" s="87">
        <v>1234</v>
      </c>
      <c r="B24" s="189" t="s">
        <v>660</v>
      </c>
    </row>
    <row r="25" spans="1:2">
      <c r="A25" s="87">
        <v>1235</v>
      </c>
      <c r="B25" s="189" t="s">
        <v>661</v>
      </c>
    </row>
    <row r="26" spans="1:2">
      <c r="A26" s="87">
        <v>1236</v>
      </c>
      <c r="B26" s="189" t="s">
        <v>662</v>
      </c>
    </row>
    <row r="27" spans="1:2">
      <c r="A27" s="87">
        <v>1256</v>
      </c>
      <c r="B27" s="189" t="s">
        <v>663</v>
      </c>
    </row>
    <row r="28" spans="1:2">
      <c r="A28" s="87">
        <v>1258</v>
      </c>
      <c r="B28" s="189" t="s">
        <v>664</v>
      </c>
    </row>
    <row r="29" spans="1:2">
      <c r="A29" s="87">
        <v>1259</v>
      </c>
      <c r="B29" s="189" t="s">
        <v>665</v>
      </c>
    </row>
    <row r="30" spans="1:2">
      <c r="A30" s="87">
        <v>1262</v>
      </c>
      <c r="B30" s="189" t="s">
        <v>666</v>
      </c>
    </row>
    <row r="31" spans="1:2">
      <c r="A31" s="87">
        <v>1264</v>
      </c>
      <c r="B31" s="189" t="s">
        <v>667</v>
      </c>
    </row>
    <row r="32" spans="1:2">
      <c r="A32" s="87">
        <v>1301</v>
      </c>
      <c r="B32" s="189" t="s">
        <v>668</v>
      </c>
    </row>
    <row r="33" spans="1:2">
      <c r="A33" s="87">
        <v>1303</v>
      </c>
      <c r="B33" s="189" t="s">
        <v>669</v>
      </c>
    </row>
    <row r="34" spans="1:2">
      <c r="A34" s="87">
        <v>1304</v>
      </c>
      <c r="B34" s="189" t="s">
        <v>670</v>
      </c>
    </row>
    <row r="35" spans="1:2">
      <c r="A35" s="87">
        <v>1305</v>
      </c>
      <c r="B35" s="189" t="s">
        <v>671</v>
      </c>
    </row>
    <row r="36" spans="1:2">
      <c r="A36" s="87">
        <v>1307</v>
      </c>
      <c r="B36" s="189" t="s">
        <v>672</v>
      </c>
    </row>
    <row r="37" spans="1:2">
      <c r="A37" s="87">
        <v>1308</v>
      </c>
      <c r="B37" s="189" t="s">
        <v>673</v>
      </c>
    </row>
    <row r="38" spans="1:2">
      <c r="A38" s="87">
        <v>1309</v>
      </c>
      <c r="B38" s="189" t="s">
        <v>674</v>
      </c>
    </row>
    <row r="39" spans="1:2">
      <c r="A39" s="87">
        <v>1310</v>
      </c>
      <c r="B39" s="189" t="s">
        <v>675</v>
      </c>
    </row>
    <row r="40" spans="1:2">
      <c r="A40" s="87">
        <v>1312</v>
      </c>
      <c r="B40" s="189" t="s">
        <v>676</v>
      </c>
    </row>
    <row r="41" spans="1:2">
      <c r="A41" s="87">
        <v>1313</v>
      </c>
      <c r="B41" s="189" t="s">
        <v>677</v>
      </c>
    </row>
    <row r="42" spans="1:2">
      <c r="A42" s="87">
        <v>1314</v>
      </c>
      <c r="B42" s="189" t="s">
        <v>678</v>
      </c>
    </row>
    <row r="43" spans="1:2">
      <c r="A43" s="87">
        <v>1315</v>
      </c>
    </row>
    <row r="44" spans="1:2">
      <c r="A44" s="87">
        <v>1316</v>
      </c>
    </row>
    <row r="45" spans="1:2">
      <c r="A45" s="87">
        <v>1319</v>
      </c>
    </row>
    <row r="46" spans="1:2">
      <c r="A46" s="87">
        <v>1321</v>
      </c>
    </row>
    <row r="47" spans="1:2">
      <c r="A47" s="87">
        <v>1323</v>
      </c>
    </row>
    <row r="48" spans="1:2">
      <c r="A48" s="87">
        <v>1324</v>
      </c>
    </row>
    <row r="49" spans="1:1">
      <c r="A49" s="87">
        <v>1325</v>
      </c>
    </row>
    <row r="50" spans="1:1">
      <c r="A50" s="87">
        <v>1326</v>
      </c>
    </row>
    <row r="51" spans="1:1">
      <c r="A51" s="87">
        <v>1333</v>
      </c>
    </row>
    <row r="52" spans="1:1">
      <c r="A52" s="87">
        <v>1336</v>
      </c>
    </row>
    <row r="53" spans="1:1">
      <c r="A53" s="87">
        <v>1337</v>
      </c>
    </row>
    <row r="54" spans="1:1">
      <c r="A54" s="87">
        <v>1338</v>
      </c>
    </row>
    <row r="55" spans="1:1">
      <c r="A55" s="87">
        <v>1339</v>
      </c>
    </row>
    <row r="56" spans="1:1">
      <c r="A56" s="87">
        <v>1340</v>
      </c>
    </row>
    <row r="57" spans="1:1">
      <c r="A57" s="87">
        <v>1402</v>
      </c>
    </row>
    <row r="58" spans="1:1">
      <c r="A58" s="87">
        <v>1409</v>
      </c>
    </row>
    <row r="59" spans="1:1">
      <c r="A59" s="87">
        <v>1410</v>
      </c>
    </row>
    <row r="60" spans="1:1">
      <c r="A60" s="87">
        <v>1413</v>
      </c>
    </row>
    <row r="61" spans="1:1">
      <c r="A61" s="87">
        <v>1414</v>
      </c>
    </row>
    <row r="62" spans="1:1">
      <c r="A62" s="87">
        <v>1416</v>
      </c>
    </row>
    <row r="63" spans="1:1">
      <c r="A63" s="87">
        <v>1417</v>
      </c>
    </row>
    <row r="64" spans="1:1">
      <c r="A64" s="87">
        <v>1418</v>
      </c>
    </row>
    <row r="65" spans="1:1">
      <c r="A65" s="87">
        <v>1419</v>
      </c>
    </row>
    <row r="66" spans="1:1">
      <c r="A66" s="87">
        <v>1423</v>
      </c>
    </row>
    <row r="67" spans="1:1">
      <c r="A67" s="87">
        <v>1432</v>
      </c>
    </row>
    <row r="68" spans="1:1">
      <c r="A68" s="87">
        <v>1434</v>
      </c>
    </row>
    <row r="69" spans="1:1">
      <c r="A69" s="87">
        <v>1435</v>
      </c>
    </row>
    <row r="70" spans="1:1">
      <c r="A70" s="87">
        <v>1436</v>
      </c>
    </row>
    <row r="71" spans="1:1">
      <c r="A71" s="87">
        <v>1437</v>
      </c>
    </row>
    <row r="72" spans="1:1">
      <c r="A72" s="87">
        <v>1438</v>
      </c>
    </row>
    <row r="73" spans="1:1">
      <c r="A73" s="87">
        <v>1439</v>
      </c>
    </row>
    <row r="74" spans="1:1">
      <c r="A74" s="87">
        <v>1440</v>
      </c>
    </row>
    <row r="75" spans="1:1">
      <c r="A75" s="87">
        <v>1441</v>
      </c>
    </row>
    <row r="76" spans="1:1">
      <c r="A76" s="87">
        <v>1442</v>
      </c>
    </row>
    <row r="77" spans="1:1">
      <c r="A77" s="87">
        <v>1443</v>
      </c>
    </row>
    <row r="78" spans="1:1">
      <c r="A78" s="87">
        <v>1444</v>
      </c>
    </row>
    <row r="79" spans="1:1">
      <c r="A79" s="87">
        <v>1445</v>
      </c>
    </row>
    <row r="80" spans="1:1">
      <c r="A80" s="87">
        <v>1446</v>
      </c>
    </row>
    <row r="81" spans="1:1">
      <c r="A81" s="87">
        <v>1447</v>
      </c>
    </row>
    <row r="82" spans="1:1">
      <c r="A82" s="87">
        <v>1449</v>
      </c>
    </row>
    <row r="83" spans="1:1">
      <c r="A83" s="87">
        <v>1451</v>
      </c>
    </row>
    <row r="84" spans="1:1">
      <c r="A84" s="87">
        <v>1452</v>
      </c>
    </row>
    <row r="85" spans="1:1">
      <c r="A85" s="87">
        <v>1453</v>
      </c>
    </row>
    <row r="86" spans="1:1">
      <c r="A86" s="87">
        <v>1454</v>
      </c>
    </row>
    <row r="87" spans="1:1">
      <c r="A87" s="87">
        <v>1455</v>
      </c>
    </row>
    <row r="88" spans="1:1">
      <c r="A88" s="87">
        <v>1456</v>
      </c>
    </row>
    <row r="89" spans="1:1">
      <c r="A89" s="87">
        <v>1457</v>
      </c>
    </row>
    <row r="90" spans="1:1">
      <c r="A90" s="87">
        <v>1459</v>
      </c>
    </row>
    <row r="91" spans="1:1">
      <c r="A91" s="87">
        <v>1460</v>
      </c>
    </row>
    <row r="92" spans="1:1">
      <c r="A92" s="87">
        <v>1463</v>
      </c>
    </row>
    <row r="93" spans="1:1">
      <c r="A93" s="87">
        <v>1464</v>
      </c>
    </row>
    <row r="94" spans="1:1">
      <c r="A94" s="87">
        <v>1465</v>
      </c>
    </row>
    <row r="95" spans="1:1">
      <c r="A95" s="87">
        <v>1466</v>
      </c>
    </row>
    <row r="96" spans="1:1">
      <c r="A96" s="87">
        <v>1467</v>
      </c>
    </row>
    <row r="97" spans="1:1">
      <c r="A97" s="87">
        <v>1468</v>
      </c>
    </row>
    <row r="98" spans="1:1">
      <c r="A98" s="87">
        <v>1469</v>
      </c>
    </row>
    <row r="99" spans="1:1">
      <c r="A99" s="87">
        <v>1470</v>
      </c>
    </row>
    <row r="100" spans="1:1">
      <c r="A100" s="87">
        <v>1471</v>
      </c>
    </row>
    <row r="101" spans="1:1">
      <c r="A101" s="87">
        <v>1472</v>
      </c>
    </row>
    <row r="102" spans="1:1">
      <c r="A102" s="87">
        <v>1473</v>
      </c>
    </row>
    <row r="103" spans="1:1">
      <c r="A103" s="87">
        <v>1474</v>
      </c>
    </row>
    <row r="104" spans="1:1">
      <c r="A104" s="87">
        <v>1475</v>
      </c>
    </row>
    <row r="105" spans="1:1">
      <c r="A105" s="87">
        <v>1476</v>
      </c>
    </row>
    <row r="106" spans="1:1">
      <c r="A106" s="87">
        <v>1477</v>
      </c>
    </row>
    <row r="107" spans="1:1">
      <c r="A107" s="87">
        <v>1503</v>
      </c>
    </row>
    <row r="108" spans="1:1">
      <c r="A108" s="87">
        <v>1504</v>
      </c>
    </row>
    <row r="109" spans="1:1">
      <c r="A109" s="87">
        <v>1506</v>
      </c>
    </row>
    <row r="110" spans="1:1">
      <c r="A110" s="87">
        <v>1507</v>
      </c>
    </row>
    <row r="111" spans="1:1">
      <c r="A111" s="87">
        <v>1512</v>
      </c>
    </row>
    <row r="112" spans="1:1">
      <c r="A112" s="87">
        <v>1513</v>
      </c>
    </row>
    <row r="113" spans="1:1">
      <c r="A113" s="87">
        <v>1514</v>
      </c>
    </row>
    <row r="114" spans="1:1">
      <c r="A114" s="87">
        <v>1515</v>
      </c>
    </row>
    <row r="115" spans="1:1">
      <c r="A115" s="87">
        <v>1516</v>
      </c>
    </row>
    <row r="116" spans="1:1">
      <c r="A116" s="87">
        <v>1517</v>
      </c>
    </row>
    <row r="117" spans="1:1">
      <c r="A117" s="87">
        <v>1519</v>
      </c>
    </row>
    <row r="118" spans="1:1">
      <c r="A118" s="87">
        <v>1521</v>
      </c>
    </row>
    <row r="119" spans="1:1">
      <c r="A119" s="87">
        <v>1522</v>
      </c>
    </row>
    <row r="120" spans="1:1">
      <c r="A120" s="87">
        <v>1524</v>
      </c>
    </row>
    <row r="121" spans="1:1">
      <c r="A121" s="87">
        <v>1525</v>
      </c>
    </row>
    <row r="122" spans="1:1">
      <c r="A122" s="87">
        <v>1526</v>
      </c>
    </row>
    <row r="123" spans="1:1">
      <c r="A123" s="87">
        <v>1527</v>
      </c>
    </row>
    <row r="124" spans="1:1">
      <c r="A124" s="87">
        <v>1528</v>
      </c>
    </row>
    <row r="125" spans="1:1">
      <c r="A125" s="87">
        <v>1529</v>
      </c>
    </row>
    <row r="126" spans="1:1">
      <c r="A126" s="87">
        <v>1530</v>
      </c>
    </row>
    <row r="127" spans="1:1">
      <c r="A127" s="87">
        <v>1531</v>
      </c>
    </row>
    <row r="128" spans="1:1">
      <c r="A128" s="87">
        <v>1532</v>
      </c>
    </row>
    <row r="129" spans="1:1">
      <c r="A129" s="87">
        <v>1533</v>
      </c>
    </row>
    <row r="130" spans="1:1">
      <c r="A130" s="87">
        <v>1535</v>
      </c>
    </row>
    <row r="131" spans="1:1">
      <c r="A131" s="87">
        <v>1536</v>
      </c>
    </row>
    <row r="132" spans="1:1">
      <c r="A132" s="87">
        <v>1537</v>
      </c>
    </row>
    <row r="133" spans="1:1">
      <c r="A133" s="87">
        <v>1538</v>
      </c>
    </row>
    <row r="134" spans="1:1">
      <c r="A134" s="87">
        <v>1539</v>
      </c>
    </row>
    <row r="135" spans="1:1">
      <c r="A135" s="87">
        <v>1540</v>
      </c>
    </row>
    <row r="136" spans="1:1">
      <c r="A136" s="87">
        <v>1541</v>
      </c>
    </row>
    <row r="137" spans="1:1">
      <c r="A137" s="87">
        <v>1558</v>
      </c>
    </row>
    <row r="138" spans="1:1">
      <c r="A138" s="87">
        <v>1560</v>
      </c>
    </row>
    <row r="139" spans="1:1">
      <c r="A139" s="87">
        <v>1565</v>
      </c>
    </row>
    <row r="140" spans="1:1">
      <c r="A140" s="87">
        <v>1566</v>
      </c>
    </row>
    <row r="141" spans="1:1">
      <c r="A141" s="87">
        <v>1568</v>
      </c>
    </row>
    <row r="142" spans="1:1">
      <c r="A142" s="87">
        <v>1569</v>
      </c>
    </row>
    <row r="143" spans="1:1">
      <c r="A143" s="87">
        <v>1570</v>
      </c>
    </row>
    <row r="144" spans="1:1">
      <c r="A144" s="87">
        <v>1580</v>
      </c>
    </row>
    <row r="145" spans="1:1">
      <c r="A145" s="87">
        <v>1582</v>
      </c>
    </row>
    <row r="146" spans="1:1">
      <c r="A146" s="87">
        <v>1583</v>
      </c>
    </row>
    <row r="147" spans="1:1">
      <c r="A147" s="87">
        <v>1584</v>
      </c>
    </row>
    <row r="148" spans="1:1">
      <c r="A148" s="87">
        <v>1586</v>
      </c>
    </row>
    <row r="149" spans="1:1">
      <c r="A149" s="87">
        <v>1589</v>
      </c>
    </row>
    <row r="150" spans="1:1">
      <c r="A150" s="87">
        <v>1590</v>
      </c>
    </row>
    <row r="151" spans="1:1">
      <c r="A151" s="87">
        <v>1591</v>
      </c>
    </row>
    <row r="152" spans="1:1">
      <c r="A152" s="87">
        <v>1592</v>
      </c>
    </row>
    <row r="153" spans="1:1">
      <c r="A153" s="87">
        <v>1593</v>
      </c>
    </row>
    <row r="154" spans="1:1">
      <c r="A154" s="87">
        <v>1595</v>
      </c>
    </row>
    <row r="155" spans="1:1">
      <c r="A155" s="87">
        <v>1597</v>
      </c>
    </row>
    <row r="156" spans="1:1">
      <c r="A156" s="87">
        <v>1599</v>
      </c>
    </row>
    <row r="157" spans="1:1">
      <c r="A157" s="87">
        <v>1603</v>
      </c>
    </row>
    <row r="158" spans="1:1">
      <c r="A158" s="87">
        <v>1604</v>
      </c>
    </row>
    <row r="159" spans="1:1">
      <c r="A159" s="87">
        <v>1605</v>
      </c>
    </row>
    <row r="160" spans="1:1">
      <c r="A160" s="87">
        <v>1608</v>
      </c>
    </row>
    <row r="161" spans="1:1">
      <c r="A161" s="87">
        <v>1609</v>
      </c>
    </row>
    <row r="162" spans="1:1">
      <c r="A162" s="87">
        <v>1611</v>
      </c>
    </row>
    <row r="163" spans="1:1">
      <c r="A163" s="87">
        <v>1612</v>
      </c>
    </row>
    <row r="164" spans="1:1">
      <c r="A164" s="87">
        <v>1613</v>
      </c>
    </row>
    <row r="165" spans="1:1">
      <c r="A165" s="87">
        <v>1614</v>
      </c>
    </row>
    <row r="166" spans="1:1">
      <c r="A166" s="87">
        <v>1615</v>
      </c>
    </row>
    <row r="167" spans="1:1">
      <c r="A167" s="87">
        <v>1616</v>
      </c>
    </row>
    <row r="168" spans="1:1">
      <c r="A168" s="87">
        <v>1617</v>
      </c>
    </row>
    <row r="169" spans="1:1">
      <c r="A169" s="87">
        <v>1618</v>
      </c>
    </row>
    <row r="170" spans="1:1">
      <c r="A170" s="87">
        <v>1626</v>
      </c>
    </row>
    <row r="171" spans="1:1">
      <c r="A171" s="87">
        <v>1701</v>
      </c>
    </row>
    <row r="172" spans="1:1">
      <c r="A172" s="87">
        <v>1702</v>
      </c>
    </row>
    <row r="173" spans="1:1">
      <c r="A173" s="87">
        <v>1704</v>
      </c>
    </row>
    <row r="174" spans="1:1">
      <c r="A174" s="87">
        <v>1707</v>
      </c>
    </row>
    <row r="175" spans="1:1">
      <c r="A175" s="87">
        <v>1708</v>
      </c>
    </row>
    <row r="176" spans="1:1">
      <c r="A176" s="87">
        <v>1709</v>
      </c>
    </row>
    <row r="177" spans="1:1">
      <c r="A177" s="87">
        <v>1710</v>
      </c>
    </row>
    <row r="178" spans="1:1">
      <c r="A178" s="87">
        <v>1711</v>
      </c>
    </row>
    <row r="179" spans="1:1">
      <c r="A179" s="87">
        <v>1712</v>
      </c>
    </row>
    <row r="180" spans="1:1">
      <c r="A180" s="87">
        <v>1713</v>
      </c>
    </row>
    <row r="181" spans="1:1">
      <c r="A181" s="87">
        <v>1714</v>
      </c>
    </row>
    <row r="182" spans="1:1">
      <c r="A182" s="87">
        <v>1715</v>
      </c>
    </row>
    <row r="183" spans="1:1">
      <c r="A183" s="87">
        <v>1717</v>
      </c>
    </row>
    <row r="184" spans="1:1">
      <c r="A184" s="87">
        <v>1718</v>
      </c>
    </row>
    <row r="185" spans="1:1">
      <c r="A185" s="87">
        <v>1720</v>
      </c>
    </row>
    <row r="186" spans="1:1">
      <c r="A186" s="87">
        <v>1721</v>
      </c>
    </row>
    <row r="187" spans="1:1">
      <c r="A187" s="87">
        <v>1722</v>
      </c>
    </row>
    <row r="188" spans="1:1">
      <c r="A188" s="87">
        <v>1723</v>
      </c>
    </row>
    <row r="189" spans="1:1">
      <c r="A189" s="87">
        <v>1724</v>
      </c>
    </row>
    <row r="190" spans="1:1">
      <c r="A190" s="87">
        <v>1725</v>
      </c>
    </row>
    <row r="191" spans="1:1">
      <c r="A191" s="87">
        <v>1726</v>
      </c>
    </row>
    <row r="192" spans="1:1">
      <c r="A192" s="87">
        <v>1727</v>
      </c>
    </row>
    <row r="193" spans="1:1">
      <c r="A193" s="87">
        <v>1729</v>
      </c>
    </row>
    <row r="194" spans="1:1">
      <c r="A194" s="87">
        <v>1730</v>
      </c>
    </row>
    <row r="195" spans="1:1">
      <c r="A195" s="87">
        <v>1731</v>
      </c>
    </row>
    <row r="196" spans="1:1">
      <c r="A196" s="87">
        <v>1732</v>
      </c>
    </row>
    <row r="197" spans="1:1">
      <c r="A197" s="87">
        <v>1733</v>
      </c>
    </row>
    <row r="198" spans="1:1">
      <c r="A198" s="87">
        <v>1734</v>
      </c>
    </row>
    <row r="199" spans="1:1">
      <c r="A199" s="87">
        <v>1735</v>
      </c>
    </row>
    <row r="200" spans="1:1">
      <c r="A200" s="87">
        <v>1736</v>
      </c>
    </row>
    <row r="201" spans="1:1">
      <c r="A201" s="87">
        <v>1737</v>
      </c>
    </row>
    <row r="202" spans="1:1">
      <c r="A202" s="87">
        <v>1742</v>
      </c>
    </row>
    <row r="203" spans="1:1">
      <c r="A203" s="87">
        <v>1752</v>
      </c>
    </row>
    <row r="204" spans="1:1">
      <c r="A204" s="87">
        <v>1762</v>
      </c>
    </row>
    <row r="205" spans="1:1">
      <c r="A205" s="87">
        <v>1773</v>
      </c>
    </row>
    <row r="206" spans="1:1">
      <c r="A206" s="87">
        <v>1777</v>
      </c>
    </row>
    <row r="207" spans="1:1">
      <c r="A207" s="87">
        <v>1781</v>
      </c>
    </row>
    <row r="208" spans="1:1">
      <c r="A208" s="87">
        <v>1783</v>
      </c>
    </row>
    <row r="209" spans="1:1">
      <c r="A209" s="87">
        <v>1784</v>
      </c>
    </row>
    <row r="210" spans="1:1">
      <c r="A210" s="87">
        <v>1785</v>
      </c>
    </row>
    <row r="211" spans="1:1">
      <c r="A211" s="87">
        <v>1786</v>
      </c>
    </row>
    <row r="212" spans="1:1">
      <c r="A212" s="87">
        <v>1787</v>
      </c>
    </row>
    <row r="213" spans="1:1">
      <c r="A213" s="87">
        <v>1788</v>
      </c>
    </row>
    <row r="214" spans="1:1">
      <c r="A214" s="87">
        <v>1789</v>
      </c>
    </row>
    <row r="215" spans="1:1">
      <c r="A215" s="87">
        <v>1795</v>
      </c>
    </row>
    <row r="216" spans="1:1">
      <c r="A216" s="87">
        <v>1799</v>
      </c>
    </row>
    <row r="217" spans="1:1">
      <c r="A217" s="87">
        <v>1802</v>
      </c>
    </row>
    <row r="218" spans="1:1">
      <c r="A218" s="87">
        <v>1805</v>
      </c>
    </row>
    <row r="219" spans="1:1">
      <c r="A219" s="87">
        <v>1806</v>
      </c>
    </row>
    <row r="220" spans="1:1">
      <c r="A220" s="87">
        <v>1808</v>
      </c>
    </row>
    <row r="221" spans="1:1">
      <c r="A221" s="87">
        <v>1809</v>
      </c>
    </row>
    <row r="222" spans="1:1">
      <c r="A222" s="87">
        <v>1810</v>
      </c>
    </row>
    <row r="223" spans="1:1">
      <c r="A223" s="87">
        <v>1813</v>
      </c>
    </row>
    <row r="224" spans="1:1">
      <c r="A224" s="87">
        <v>1815</v>
      </c>
    </row>
    <row r="225" spans="1:1">
      <c r="A225" s="87">
        <v>1902</v>
      </c>
    </row>
    <row r="226" spans="1:1">
      <c r="A226" s="87">
        <v>1903</v>
      </c>
    </row>
    <row r="227" spans="1:1">
      <c r="A227" s="87">
        <v>1904</v>
      </c>
    </row>
    <row r="228" spans="1:1">
      <c r="A228" s="87">
        <v>1905</v>
      </c>
    </row>
    <row r="229" spans="1:1">
      <c r="A229" s="87">
        <v>1906</v>
      </c>
    </row>
    <row r="230" spans="1:1">
      <c r="A230" s="87">
        <v>1907</v>
      </c>
    </row>
    <row r="231" spans="1:1">
      <c r="A231" s="87">
        <v>1909</v>
      </c>
    </row>
    <row r="232" spans="1:1">
      <c r="A232" s="87">
        <v>2002</v>
      </c>
    </row>
    <row r="233" spans="1:1">
      <c r="A233" s="87">
        <v>2006</v>
      </c>
    </row>
    <row r="234" spans="1:1">
      <c r="A234" s="87">
        <v>2007</v>
      </c>
    </row>
    <row r="235" spans="1:1">
      <c r="A235" s="87">
        <v>2008</v>
      </c>
    </row>
    <row r="236" spans="1:1">
      <c r="A236" s="87">
        <v>2009</v>
      </c>
    </row>
    <row r="237" spans="1:1">
      <c r="A237" s="87">
        <v>2010</v>
      </c>
    </row>
    <row r="238" spans="1:1">
      <c r="A238" s="87">
        <v>2012</v>
      </c>
    </row>
    <row r="239" spans="1:1">
      <c r="A239" s="87">
        <v>2013</v>
      </c>
    </row>
    <row r="240" spans="1:1">
      <c r="A240" s="87">
        <v>2014</v>
      </c>
    </row>
    <row r="241" spans="1:1">
      <c r="A241" s="87">
        <v>2015</v>
      </c>
    </row>
    <row r="242" spans="1:1">
      <c r="A242" s="87">
        <v>2017</v>
      </c>
    </row>
    <row r="243" spans="1:1">
      <c r="A243" s="87">
        <v>2020</v>
      </c>
    </row>
    <row r="244" spans="1:1">
      <c r="A244" s="87">
        <v>2022</v>
      </c>
    </row>
    <row r="245" spans="1:1">
      <c r="A245" s="87">
        <v>2023</v>
      </c>
    </row>
    <row r="246" spans="1:1">
      <c r="A246" s="87">
        <v>2024</v>
      </c>
    </row>
    <row r="247" spans="1:1">
      <c r="A247" s="87">
        <v>2025</v>
      </c>
    </row>
    <row r="248" spans="1:1">
      <c r="A248" s="87">
        <v>2027</v>
      </c>
    </row>
    <row r="249" spans="1:1">
      <c r="A249" s="87">
        <v>2028</v>
      </c>
    </row>
    <row r="250" spans="1:1">
      <c r="A250" s="87">
        <v>2029</v>
      </c>
    </row>
    <row r="251" spans="1:1">
      <c r="A251" s="87">
        <v>2030</v>
      </c>
    </row>
    <row r="252" spans="1:1">
      <c r="A252" s="87">
        <v>2031</v>
      </c>
    </row>
    <row r="253" spans="1:1">
      <c r="A253" s="87">
        <v>2032</v>
      </c>
    </row>
    <row r="254" spans="1:1">
      <c r="A254" s="87">
        <v>2033</v>
      </c>
    </row>
    <row r="255" spans="1:1">
      <c r="A255" s="87">
        <v>2034</v>
      </c>
    </row>
    <row r="256" spans="1:1">
      <c r="A256" s="87">
        <v>2035</v>
      </c>
    </row>
    <row r="257" spans="1:1">
      <c r="A257" s="87">
        <v>2038</v>
      </c>
    </row>
    <row r="258" spans="1:1">
      <c r="A258" s="87">
        <v>2049</v>
      </c>
    </row>
    <row r="259" spans="1:1">
      <c r="A259" s="87">
        <v>2059</v>
      </c>
    </row>
    <row r="260" spans="1:1">
      <c r="A260" s="87">
        <v>2061</v>
      </c>
    </row>
    <row r="261" spans="1:1">
      <c r="A261" s="87">
        <v>2062</v>
      </c>
    </row>
    <row r="262" spans="1:1">
      <c r="A262" s="87">
        <v>2063</v>
      </c>
    </row>
    <row r="263" spans="1:1">
      <c r="A263" s="87">
        <v>2064</v>
      </c>
    </row>
    <row r="264" spans="1:1">
      <c r="A264" s="87">
        <v>2066</v>
      </c>
    </row>
    <row r="265" spans="1:1">
      <c r="A265" s="87">
        <v>2067</v>
      </c>
    </row>
    <row r="266" spans="1:1">
      <c r="A266" s="87">
        <v>2101</v>
      </c>
    </row>
    <row r="267" spans="1:1">
      <c r="A267" s="87">
        <v>2102</v>
      </c>
    </row>
    <row r="268" spans="1:1">
      <c r="A268" s="87">
        <v>2103</v>
      </c>
    </row>
    <row r="269" spans="1:1">
      <c r="A269" s="87">
        <v>2104</v>
      </c>
    </row>
    <row r="270" spans="1:1">
      <c r="A270" s="87">
        <v>2105</v>
      </c>
    </row>
    <row r="271" spans="1:1">
      <c r="A271" s="87">
        <v>2106</v>
      </c>
    </row>
    <row r="272" spans="1:1">
      <c r="A272" s="87">
        <v>2107</v>
      </c>
    </row>
    <row r="273" spans="1:1">
      <c r="A273" s="87">
        <v>2108</v>
      </c>
    </row>
    <row r="274" spans="1:1">
      <c r="A274" s="87">
        <v>2109</v>
      </c>
    </row>
    <row r="275" spans="1:1">
      <c r="A275" s="87">
        <v>2114</v>
      </c>
    </row>
    <row r="276" spans="1:1">
      <c r="A276" s="87">
        <v>2115</v>
      </c>
    </row>
    <row r="277" spans="1:1">
      <c r="A277" s="87">
        <v>2201</v>
      </c>
    </row>
    <row r="278" spans="1:1">
      <c r="A278" s="87">
        <v>2204</v>
      </c>
    </row>
    <row r="279" spans="1:1">
      <c r="A279" s="87">
        <v>2206</v>
      </c>
    </row>
    <row r="280" spans="1:1">
      <c r="A280" s="87">
        <v>2207</v>
      </c>
    </row>
    <row r="281" spans="1:1">
      <c r="A281" s="87">
        <v>2208</v>
      </c>
    </row>
    <row r="282" spans="1:1">
      <c r="A282" s="87">
        <v>2221</v>
      </c>
    </row>
    <row r="283" spans="1:1">
      <c r="A283" s="87">
        <v>2227</v>
      </c>
    </row>
    <row r="284" spans="1:1">
      <c r="A284" s="87">
        <v>2228</v>
      </c>
    </row>
    <row r="285" spans="1:1">
      <c r="A285" s="87">
        <v>2230</v>
      </c>
    </row>
    <row r="286" spans="1:1">
      <c r="A286" s="87">
        <v>2231</v>
      </c>
    </row>
    <row r="287" spans="1:1">
      <c r="A287" s="87">
        <v>2233</v>
      </c>
    </row>
    <row r="288" spans="1:1">
      <c r="A288" s="87">
        <v>2235</v>
      </c>
    </row>
    <row r="289" spans="1:1">
      <c r="A289" s="87">
        <v>2301</v>
      </c>
    </row>
    <row r="290" spans="1:1">
      <c r="A290" s="87">
        <v>2302</v>
      </c>
    </row>
    <row r="291" spans="1:1">
      <c r="A291" s="87">
        <v>2303</v>
      </c>
    </row>
    <row r="292" spans="1:1">
      <c r="A292" s="87">
        <v>2305</v>
      </c>
    </row>
    <row r="293" spans="1:1">
      <c r="A293" s="87">
        <v>2308</v>
      </c>
    </row>
    <row r="294" spans="1:1">
      <c r="A294" s="87">
        <v>2311</v>
      </c>
    </row>
    <row r="295" spans="1:1">
      <c r="A295" s="87">
        <v>2312</v>
      </c>
    </row>
    <row r="296" spans="1:1">
      <c r="A296" s="87">
        <v>2313</v>
      </c>
    </row>
    <row r="297" spans="1:1">
      <c r="A297" s="87">
        <v>2314</v>
      </c>
    </row>
    <row r="298" spans="1:1">
      <c r="A298" s="87">
        <v>2316</v>
      </c>
    </row>
    <row r="299" spans="1:1">
      <c r="A299" s="87">
        <v>2317</v>
      </c>
    </row>
    <row r="300" spans="1:1">
      <c r="A300" s="87">
        <v>2321</v>
      </c>
    </row>
    <row r="301" spans="1:1">
      <c r="A301" s="87">
        <v>2323</v>
      </c>
    </row>
    <row r="302" spans="1:1">
      <c r="A302" s="87">
        <v>2324</v>
      </c>
    </row>
    <row r="303" spans="1:1">
      <c r="A303" s="87">
        <v>2325</v>
      </c>
    </row>
    <row r="304" spans="1:1">
      <c r="A304" s="87">
        <v>2327</v>
      </c>
    </row>
    <row r="305" spans="1:1">
      <c r="A305" s="87">
        <v>2328</v>
      </c>
    </row>
    <row r="306" spans="1:1">
      <c r="A306" s="87">
        <v>2329</v>
      </c>
    </row>
    <row r="307" spans="1:1">
      <c r="A307" s="87">
        <v>2330</v>
      </c>
    </row>
    <row r="308" spans="1:1">
      <c r="A308" s="87">
        <v>2331</v>
      </c>
    </row>
    <row r="309" spans="1:1">
      <c r="A309" s="87">
        <v>2332</v>
      </c>
    </row>
    <row r="310" spans="1:1">
      <c r="A310" s="87">
        <v>2337</v>
      </c>
    </row>
    <row r="311" spans="1:1">
      <c r="A311" s="87">
        <v>2338</v>
      </c>
    </row>
    <row r="312" spans="1:1">
      <c r="A312" s="87">
        <v>2340</v>
      </c>
    </row>
    <row r="313" spans="1:1">
      <c r="A313" s="87">
        <v>2342</v>
      </c>
    </row>
    <row r="314" spans="1:1">
      <c r="A314" s="87">
        <v>2344</v>
      </c>
    </row>
    <row r="315" spans="1:1">
      <c r="A315" s="87">
        <v>2345</v>
      </c>
    </row>
    <row r="316" spans="1:1">
      <c r="A316" s="87">
        <v>2347</v>
      </c>
    </row>
    <row r="317" spans="1:1">
      <c r="A317" s="87">
        <v>2348</v>
      </c>
    </row>
    <row r="318" spans="1:1">
      <c r="A318" s="87">
        <v>2349</v>
      </c>
    </row>
    <row r="319" spans="1:1">
      <c r="A319" s="87">
        <v>2351</v>
      </c>
    </row>
    <row r="320" spans="1:1">
      <c r="A320" s="87">
        <v>2352</v>
      </c>
    </row>
    <row r="321" spans="1:1">
      <c r="A321" s="87">
        <v>2353</v>
      </c>
    </row>
    <row r="322" spans="1:1">
      <c r="A322" s="87">
        <v>2354</v>
      </c>
    </row>
    <row r="323" spans="1:1">
      <c r="A323" s="87">
        <v>2355</v>
      </c>
    </row>
    <row r="324" spans="1:1">
      <c r="A324" s="87">
        <v>2356</v>
      </c>
    </row>
    <row r="325" spans="1:1">
      <c r="A325" s="87">
        <v>2357</v>
      </c>
    </row>
    <row r="326" spans="1:1">
      <c r="A326" s="87">
        <v>2358</v>
      </c>
    </row>
    <row r="327" spans="1:1">
      <c r="A327" s="87">
        <v>2359</v>
      </c>
    </row>
    <row r="328" spans="1:1">
      <c r="A328" s="87">
        <v>2360</v>
      </c>
    </row>
    <row r="329" spans="1:1">
      <c r="A329" s="87">
        <v>2361</v>
      </c>
    </row>
    <row r="330" spans="1:1">
      <c r="A330" s="87">
        <v>2362</v>
      </c>
    </row>
    <row r="331" spans="1:1">
      <c r="A331" s="87">
        <v>2363</v>
      </c>
    </row>
    <row r="332" spans="1:1">
      <c r="A332" s="87">
        <v>2364</v>
      </c>
    </row>
    <row r="333" spans="1:1">
      <c r="A333" s="87">
        <v>2365</v>
      </c>
    </row>
    <row r="334" spans="1:1">
      <c r="A334" s="87">
        <v>2367</v>
      </c>
    </row>
    <row r="335" spans="1:1">
      <c r="A335" s="87">
        <v>2368</v>
      </c>
    </row>
    <row r="336" spans="1:1">
      <c r="A336" s="87">
        <v>2369</v>
      </c>
    </row>
    <row r="337" spans="1:1">
      <c r="A337" s="87">
        <v>2371</v>
      </c>
    </row>
    <row r="338" spans="1:1">
      <c r="A338" s="87">
        <v>2373</v>
      </c>
    </row>
    <row r="339" spans="1:1">
      <c r="A339" s="87">
        <v>2374</v>
      </c>
    </row>
    <row r="340" spans="1:1">
      <c r="A340" s="87">
        <v>2375</v>
      </c>
    </row>
    <row r="341" spans="1:1">
      <c r="A341" s="87">
        <v>2376</v>
      </c>
    </row>
    <row r="342" spans="1:1">
      <c r="A342" s="87">
        <v>2377</v>
      </c>
    </row>
    <row r="343" spans="1:1">
      <c r="A343" s="87">
        <v>2379</v>
      </c>
    </row>
    <row r="344" spans="1:1">
      <c r="A344" s="87">
        <v>2380</v>
      </c>
    </row>
    <row r="345" spans="1:1">
      <c r="A345" s="87">
        <v>2382</v>
      </c>
    </row>
    <row r="346" spans="1:1">
      <c r="A346" s="87">
        <v>2383</v>
      </c>
    </row>
    <row r="347" spans="1:1">
      <c r="A347" s="87">
        <v>2385</v>
      </c>
    </row>
    <row r="348" spans="1:1">
      <c r="A348" s="87">
        <v>2387</v>
      </c>
    </row>
    <row r="349" spans="1:1">
      <c r="A349" s="87">
        <v>2388</v>
      </c>
    </row>
    <row r="350" spans="1:1">
      <c r="A350" s="87">
        <v>2390</v>
      </c>
    </row>
    <row r="351" spans="1:1">
      <c r="A351" s="87">
        <v>2392</v>
      </c>
    </row>
    <row r="352" spans="1:1">
      <c r="A352" s="87">
        <v>2393</v>
      </c>
    </row>
    <row r="353" spans="1:1">
      <c r="A353" s="87">
        <v>2395</v>
      </c>
    </row>
    <row r="354" spans="1:1">
      <c r="A354" s="87">
        <v>2397</v>
      </c>
    </row>
    <row r="355" spans="1:1">
      <c r="A355" s="87">
        <v>2399</v>
      </c>
    </row>
    <row r="356" spans="1:1">
      <c r="A356" s="87">
        <v>2401</v>
      </c>
    </row>
    <row r="357" spans="1:1">
      <c r="A357" s="87">
        <v>2402</v>
      </c>
    </row>
    <row r="358" spans="1:1">
      <c r="A358" s="87">
        <v>2404</v>
      </c>
    </row>
    <row r="359" spans="1:1">
      <c r="A359" s="87">
        <v>2405</v>
      </c>
    </row>
    <row r="360" spans="1:1">
      <c r="A360" s="87">
        <v>2406</v>
      </c>
    </row>
    <row r="361" spans="1:1">
      <c r="A361" s="87">
        <v>2408</v>
      </c>
    </row>
    <row r="362" spans="1:1">
      <c r="A362" s="87">
        <v>2409</v>
      </c>
    </row>
    <row r="363" spans="1:1">
      <c r="A363" s="87">
        <v>2412</v>
      </c>
    </row>
    <row r="364" spans="1:1">
      <c r="A364" s="87">
        <v>2413</v>
      </c>
    </row>
    <row r="365" spans="1:1">
      <c r="A365" s="87">
        <v>2414</v>
      </c>
    </row>
    <row r="366" spans="1:1">
      <c r="A366" s="87">
        <v>2415</v>
      </c>
    </row>
    <row r="367" spans="1:1">
      <c r="A367" s="87">
        <v>2417</v>
      </c>
    </row>
    <row r="368" spans="1:1">
      <c r="A368" s="87">
        <v>2419</v>
      </c>
    </row>
    <row r="369" spans="1:1">
      <c r="A369" s="87">
        <v>2420</v>
      </c>
    </row>
    <row r="370" spans="1:1">
      <c r="A370" s="87">
        <v>2421</v>
      </c>
    </row>
    <row r="371" spans="1:1">
      <c r="A371" s="87">
        <v>2423</v>
      </c>
    </row>
    <row r="372" spans="1:1">
      <c r="A372" s="87">
        <v>2424</v>
      </c>
    </row>
    <row r="373" spans="1:1">
      <c r="A373" s="87">
        <v>2425</v>
      </c>
    </row>
    <row r="374" spans="1:1">
      <c r="A374" s="87">
        <v>2426</v>
      </c>
    </row>
    <row r="375" spans="1:1">
      <c r="A375" s="87">
        <v>2427</v>
      </c>
    </row>
    <row r="376" spans="1:1">
      <c r="A376" s="87">
        <v>2428</v>
      </c>
    </row>
    <row r="377" spans="1:1">
      <c r="A377" s="87">
        <v>2429</v>
      </c>
    </row>
    <row r="378" spans="1:1">
      <c r="A378" s="87">
        <v>2430</v>
      </c>
    </row>
    <row r="379" spans="1:1">
      <c r="A379" s="87">
        <v>2431</v>
      </c>
    </row>
    <row r="380" spans="1:1">
      <c r="A380" s="87">
        <v>2433</v>
      </c>
    </row>
    <row r="381" spans="1:1">
      <c r="A381" s="87">
        <v>2434</v>
      </c>
    </row>
    <row r="382" spans="1:1">
      <c r="A382" s="87">
        <v>2436</v>
      </c>
    </row>
    <row r="383" spans="1:1">
      <c r="A383" s="87">
        <v>2437</v>
      </c>
    </row>
    <row r="384" spans="1:1">
      <c r="A384" s="87">
        <v>2438</v>
      </c>
    </row>
    <row r="385" spans="1:1">
      <c r="A385" s="87">
        <v>2439</v>
      </c>
    </row>
    <row r="386" spans="1:1">
      <c r="A386" s="87">
        <v>2440</v>
      </c>
    </row>
    <row r="387" spans="1:1">
      <c r="A387" s="87">
        <v>2441</v>
      </c>
    </row>
    <row r="388" spans="1:1">
      <c r="A388" s="87">
        <v>2442</v>
      </c>
    </row>
    <row r="389" spans="1:1">
      <c r="A389" s="87">
        <v>2443</v>
      </c>
    </row>
    <row r="390" spans="1:1">
      <c r="A390" s="87">
        <v>2444</v>
      </c>
    </row>
    <row r="391" spans="1:1">
      <c r="A391" s="87">
        <v>2448</v>
      </c>
    </row>
    <row r="392" spans="1:1">
      <c r="A392" s="87">
        <v>2449</v>
      </c>
    </row>
    <row r="393" spans="1:1">
      <c r="A393" s="87">
        <v>2450</v>
      </c>
    </row>
    <row r="394" spans="1:1">
      <c r="A394" s="87">
        <v>2451</v>
      </c>
    </row>
    <row r="395" spans="1:1">
      <c r="A395" s="87">
        <v>2453</v>
      </c>
    </row>
    <row r="396" spans="1:1">
      <c r="A396" s="87">
        <v>2454</v>
      </c>
    </row>
    <row r="397" spans="1:1">
      <c r="A397" s="87">
        <v>2455</v>
      </c>
    </row>
    <row r="398" spans="1:1">
      <c r="A398" s="87">
        <v>2456</v>
      </c>
    </row>
    <row r="399" spans="1:1">
      <c r="A399" s="87">
        <v>2457</v>
      </c>
    </row>
    <row r="400" spans="1:1">
      <c r="A400" s="87">
        <v>2458</v>
      </c>
    </row>
    <row r="401" spans="1:1">
      <c r="A401" s="87">
        <v>2459</v>
      </c>
    </row>
    <row r="402" spans="1:1">
      <c r="A402" s="87">
        <v>2460</v>
      </c>
    </row>
    <row r="403" spans="1:1">
      <c r="A403" s="87">
        <v>2461</v>
      </c>
    </row>
    <row r="404" spans="1:1">
      <c r="A404" s="87">
        <v>2462</v>
      </c>
    </row>
    <row r="405" spans="1:1">
      <c r="A405" s="87">
        <v>2464</v>
      </c>
    </row>
    <row r="406" spans="1:1">
      <c r="A406" s="87">
        <v>2465</v>
      </c>
    </row>
    <row r="407" spans="1:1">
      <c r="A407" s="87">
        <v>2466</v>
      </c>
    </row>
    <row r="408" spans="1:1">
      <c r="A408" s="87">
        <v>2467</v>
      </c>
    </row>
    <row r="409" spans="1:1">
      <c r="A409" s="87">
        <v>2468</v>
      </c>
    </row>
    <row r="410" spans="1:1">
      <c r="A410" s="87">
        <v>2471</v>
      </c>
    </row>
    <row r="411" spans="1:1">
      <c r="A411" s="87">
        <v>2472</v>
      </c>
    </row>
    <row r="412" spans="1:1">
      <c r="A412" s="87">
        <v>2474</v>
      </c>
    </row>
    <row r="413" spans="1:1">
      <c r="A413" s="87">
        <v>2475</v>
      </c>
    </row>
    <row r="414" spans="1:1">
      <c r="A414" s="87">
        <v>2476</v>
      </c>
    </row>
    <row r="415" spans="1:1">
      <c r="A415" s="87">
        <v>2477</v>
      </c>
    </row>
    <row r="416" spans="1:1">
      <c r="A416" s="87">
        <v>2478</v>
      </c>
    </row>
    <row r="417" spans="1:1">
      <c r="A417" s="87">
        <v>2480</v>
      </c>
    </row>
    <row r="418" spans="1:1">
      <c r="A418" s="87">
        <v>2481</v>
      </c>
    </row>
    <row r="419" spans="1:1">
      <c r="A419" s="87">
        <v>2482</v>
      </c>
    </row>
    <row r="420" spans="1:1">
      <c r="A420" s="87">
        <v>2483</v>
      </c>
    </row>
    <row r="421" spans="1:1">
      <c r="A421" s="87">
        <v>2484</v>
      </c>
    </row>
    <row r="422" spans="1:1">
      <c r="A422" s="87">
        <v>2485</v>
      </c>
    </row>
    <row r="423" spans="1:1">
      <c r="A423" s="87">
        <v>2486</v>
      </c>
    </row>
    <row r="424" spans="1:1">
      <c r="A424" s="87">
        <v>2488</v>
      </c>
    </row>
    <row r="425" spans="1:1">
      <c r="A425" s="87">
        <v>2489</v>
      </c>
    </row>
    <row r="426" spans="1:1">
      <c r="A426" s="87">
        <v>2491</v>
      </c>
    </row>
    <row r="427" spans="1:1">
      <c r="A427" s="87">
        <v>2492</v>
      </c>
    </row>
    <row r="428" spans="1:1">
      <c r="A428" s="87">
        <v>2493</v>
      </c>
    </row>
    <row r="429" spans="1:1">
      <c r="A429" s="87">
        <v>2495</v>
      </c>
    </row>
    <row r="430" spans="1:1">
      <c r="A430" s="87">
        <v>2496</v>
      </c>
    </row>
    <row r="431" spans="1:1">
      <c r="A431" s="87">
        <v>2497</v>
      </c>
    </row>
    <row r="432" spans="1:1">
      <c r="A432" s="87">
        <v>2498</v>
      </c>
    </row>
    <row r="433" spans="1:1">
      <c r="A433" s="87">
        <v>2499</v>
      </c>
    </row>
    <row r="434" spans="1:1">
      <c r="A434" s="87">
        <v>2501</v>
      </c>
    </row>
    <row r="435" spans="1:1">
      <c r="A435" s="87">
        <v>2504</v>
      </c>
    </row>
    <row r="436" spans="1:1">
      <c r="A436" s="87">
        <v>2505</v>
      </c>
    </row>
    <row r="437" spans="1:1">
      <c r="A437" s="87">
        <v>2506</v>
      </c>
    </row>
    <row r="438" spans="1:1">
      <c r="A438" s="87">
        <v>2509</v>
      </c>
    </row>
    <row r="439" spans="1:1">
      <c r="A439" s="87">
        <v>2511</v>
      </c>
    </row>
    <row r="440" spans="1:1">
      <c r="A440" s="87">
        <v>2514</v>
      </c>
    </row>
    <row r="441" spans="1:1">
      <c r="A441" s="87">
        <v>2515</v>
      </c>
    </row>
    <row r="442" spans="1:1">
      <c r="A442" s="87">
        <v>2516</v>
      </c>
    </row>
    <row r="443" spans="1:1">
      <c r="A443" s="87">
        <v>2520</v>
      </c>
    </row>
    <row r="444" spans="1:1">
      <c r="A444" s="87">
        <v>2524</v>
      </c>
    </row>
    <row r="445" spans="1:1">
      <c r="A445" s="87">
        <v>2527</v>
      </c>
    </row>
    <row r="446" spans="1:1">
      <c r="A446" s="87">
        <v>2528</v>
      </c>
    </row>
    <row r="447" spans="1:1">
      <c r="A447" s="87">
        <v>2530</v>
      </c>
    </row>
    <row r="448" spans="1:1">
      <c r="A448" s="87">
        <v>2534</v>
      </c>
    </row>
    <row r="449" spans="1:1">
      <c r="A449" s="87">
        <v>2535</v>
      </c>
    </row>
    <row r="450" spans="1:1">
      <c r="A450" s="87">
        <v>2536</v>
      </c>
    </row>
    <row r="451" spans="1:1">
      <c r="A451" s="87">
        <v>2537</v>
      </c>
    </row>
    <row r="452" spans="1:1">
      <c r="A452" s="87">
        <v>2538</v>
      </c>
    </row>
    <row r="453" spans="1:1">
      <c r="A453" s="87">
        <v>2539</v>
      </c>
    </row>
    <row r="454" spans="1:1">
      <c r="A454" s="87">
        <v>2540</v>
      </c>
    </row>
    <row r="455" spans="1:1">
      <c r="A455" s="87">
        <v>2542</v>
      </c>
    </row>
    <row r="456" spans="1:1">
      <c r="A456" s="87">
        <v>2543</v>
      </c>
    </row>
    <row r="457" spans="1:1">
      <c r="A457" s="87">
        <v>2545</v>
      </c>
    </row>
    <row r="458" spans="1:1">
      <c r="A458" s="87">
        <v>2546</v>
      </c>
    </row>
    <row r="459" spans="1:1">
      <c r="A459" s="87">
        <v>2547</v>
      </c>
    </row>
    <row r="460" spans="1:1">
      <c r="A460" s="87">
        <v>2548</v>
      </c>
    </row>
    <row r="461" spans="1:1">
      <c r="A461" s="87">
        <v>2596</v>
      </c>
    </row>
    <row r="462" spans="1:1">
      <c r="A462" s="87">
        <v>2597</v>
      </c>
    </row>
    <row r="463" spans="1:1">
      <c r="A463" s="87">
        <v>2601</v>
      </c>
    </row>
    <row r="464" spans="1:1">
      <c r="A464" s="87">
        <v>2603</v>
      </c>
    </row>
    <row r="465" spans="1:1">
      <c r="A465" s="87">
        <v>2605</v>
      </c>
    </row>
    <row r="466" spans="1:1">
      <c r="A466" s="87">
        <v>2606</v>
      </c>
    </row>
    <row r="467" spans="1:1">
      <c r="A467" s="87">
        <v>2607</v>
      </c>
    </row>
    <row r="468" spans="1:1">
      <c r="A468" s="87">
        <v>2608</v>
      </c>
    </row>
    <row r="469" spans="1:1">
      <c r="A469" s="87">
        <v>2609</v>
      </c>
    </row>
    <row r="470" spans="1:1">
      <c r="A470" s="87">
        <v>2610</v>
      </c>
    </row>
    <row r="471" spans="1:1">
      <c r="A471" s="87">
        <v>2611</v>
      </c>
    </row>
    <row r="472" spans="1:1">
      <c r="A472" s="87">
        <v>2612</v>
      </c>
    </row>
    <row r="473" spans="1:1">
      <c r="A473" s="87">
        <v>2613</v>
      </c>
    </row>
    <row r="474" spans="1:1">
      <c r="A474" s="87">
        <v>2614</v>
      </c>
    </row>
    <row r="475" spans="1:1">
      <c r="A475" s="87">
        <v>2615</v>
      </c>
    </row>
    <row r="476" spans="1:1">
      <c r="A476" s="87">
        <v>2616</v>
      </c>
    </row>
    <row r="477" spans="1:1">
      <c r="A477" s="87">
        <v>2617</v>
      </c>
    </row>
    <row r="478" spans="1:1">
      <c r="A478" s="87">
        <v>2618</v>
      </c>
    </row>
    <row r="479" spans="1:1">
      <c r="A479" s="87">
        <v>2634</v>
      </c>
    </row>
    <row r="480" spans="1:1">
      <c r="A480" s="87">
        <v>2636</v>
      </c>
    </row>
    <row r="481" spans="1:1">
      <c r="A481" s="87">
        <v>2637</v>
      </c>
    </row>
    <row r="482" spans="1:1">
      <c r="A482" s="87">
        <v>2640</v>
      </c>
    </row>
    <row r="483" spans="1:1">
      <c r="A483" s="87">
        <v>2641</v>
      </c>
    </row>
    <row r="484" spans="1:1">
      <c r="A484" s="87">
        <v>2642</v>
      </c>
    </row>
    <row r="485" spans="1:1">
      <c r="A485" s="87">
        <v>2701</v>
      </c>
    </row>
    <row r="486" spans="1:1">
      <c r="A486" s="87">
        <v>2702</v>
      </c>
    </row>
    <row r="487" spans="1:1">
      <c r="A487" s="87">
        <v>2704</v>
      </c>
    </row>
    <row r="488" spans="1:1">
      <c r="A488" s="87">
        <v>2705</v>
      </c>
    </row>
    <row r="489" spans="1:1">
      <c r="A489" s="87">
        <v>2706</v>
      </c>
    </row>
    <row r="490" spans="1:1">
      <c r="A490" s="87">
        <v>2707</v>
      </c>
    </row>
    <row r="491" spans="1:1">
      <c r="A491" s="87">
        <v>2712</v>
      </c>
    </row>
    <row r="492" spans="1:1">
      <c r="A492" s="87">
        <v>2718</v>
      </c>
    </row>
    <row r="493" spans="1:1">
      <c r="A493" s="87">
        <v>2719</v>
      </c>
    </row>
    <row r="494" spans="1:1">
      <c r="A494" s="87">
        <v>2722</v>
      </c>
    </row>
    <row r="495" spans="1:1">
      <c r="A495" s="87">
        <v>2723</v>
      </c>
    </row>
    <row r="496" spans="1:1">
      <c r="A496" s="87">
        <v>2724</v>
      </c>
    </row>
    <row r="497" spans="1:1">
      <c r="A497" s="87">
        <v>2726</v>
      </c>
    </row>
    <row r="498" spans="1:1">
      <c r="A498" s="87">
        <v>2727</v>
      </c>
    </row>
    <row r="499" spans="1:1">
      <c r="A499" s="87">
        <v>2729</v>
      </c>
    </row>
    <row r="500" spans="1:1">
      <c r="A500" s="87">
        <v>2731</v>
      </c>
    </row>
    <row r="501" spans="1:1">
      <c r="A501" s="87">
        <v>2732</v>
      </c>
    </row>
    <row r="502" spans="1:1">
      <c r="A502" s="87">
        <v>2734</v>
      </c>
    </row>
    <row r="503" spans="1:1">
      <c r="A503" s="87">
        <v>2801</v>
      </c>
    </row>
    <row r="504" spans="1:1">
      <c r="A504" s="87">
        <v>2809</v>
      </c>
    </row>
    <row r="505" spans="1:1">
      <c r="A505" s="87">
        <v>2812</v>
      </c>
    </row>
    <row r="506" spans="1:1">
      <c r="A506" s="87">
        <v>2816</v>
      </c>
    </row>
    <row r="507" spans="1:1">
      <c r="A507" s="87">
        <v>2820</v>
      </c>
    </row>
    <row r="508" spans="1:1">
      <c r="A508" s="87">
        <v>2823</v>
      </c>
    </row>
    <row r="509" spans="1:1">
      <c r="A509" s="87">
        <v>2832</v>
      </c>
    </row>
    <row r="510" spans="1:1">
      <c r="A510" s="87">
        <v>2833</v>
      </c>
    </row>
    <row r="511" spans="1:1">
      <c r="A511" s="87">
        <v>2834</v>
      </c>
    </row>
    <row r="512" spans="1:1">
      <c r="A512" s="87">
        <v>2836</v>
      </c>
    </row>
    <row r="513" spans="1:1">
      <c r="A513" s="87">
        <v>2838</v>
      </c>
    </row>
    <row r="514" spans="1:1">
      <c r="A514" s="87">
        <v>2841</v>
      </c>
    </row>
    <row r="515" spans="1:1">
      <c r="A515" s="87">
        <v>2845</v>
      </c>
    </row>
    <row r="516" spans="1:1">
      <c r="A516" s="87">
        <v>2847</v>
      </c>
    </row>
    <row r="517" spans="1:1">
      <c r="A517" s="87">
        <v>2849</v>
      </c>
    </row>
    <row r="518" spans="1:1">
      <c r="A518" s="87">
        <v>2850</v>
      </c>
    </row>
    <row r="519" spans="1:1">
      <c r="A519" s="87">
        <v>2851</v>
      </c>
    </row>
    <row r="520" spans="1:1">
      <c r="A520" s="87">
        <v>2852</v>
      </c>
    </row>
    <row r="521" spans="1:1">
      <c r="A521" s="87">
        <v>2855</v>
      </c>
    </row>
    <row r="522" spans="1:1">
      <c r="A522" s="87">
        <v>2856</v>
      </c>
    </row>
    <row r="523" spans="1:1">
      <c r="A523" s="87">
        <v>2867</v>
      </c>
    </row>
    <row r="524" spans="1:1">
      <c r="A524" s="87">
        <v>2880</v>
      </c>
    </row>
    <row r="525" spans="1:1">
      <c r="A525" s="87">
        <v>2881</v>
      </c>
    </row>
    <row r="526" spans="1:1">
      <c r="A526" s="87">
        <v>2882</v>
      </c>
    </row>
    <row r="527" spans="1:1">
      <c r="A527" s="87">
        <v>2883</v>
      </c>
    </row>
    <row r="528" spans="1:1">
      <c r="A528" s="87">
        <v>2884</v>
      </c>
    </row>
    <row r="529" spans="1:1">
      <c r="A529" s="87">
        <v>2885</v>
      </c>
    </row>
    <row r="530" spans="1:1">
      <c r="A530" s="87">
        <v>2886</v>
      </c>
    </row>
    <row r="531" spans="1:1">
      <c r="A531" s="87">
        <v>2887</v>
      </c>
    </row>
    <row r="532" spans="1:1">
      <c r="A532" s="87">
        <v>2888</v>
      </c>
    </row>
    <row r="533" spans="1:1">
      <c r="A533" s="87">
        <v>2889</v>
      </c>
    </row>
    <row r="534" spans="1:1">
      <c r="A534" s="87">
        <v>2890</v>
      </c>
    </row>
    <row r="535" spans="1:1">
      <c r="A535" s="87">
        <v>2891</v>
      </c>
    </row>
    <row r="536" spans="1:1">
      <c r="A536" s="87">
        <v>2892</v>
      </c>
    </row>
    <row r="537" spans="1:1">
      <c r="A537" s="87">
        <v>2901</v>
      </c>
    </row>
    <row r="538" spans="1:1">
      <c r="A538" s="87">
        <v>2903</v>
      </c>
    </row>
    <row r="539" spans="1:1">
      <c r="A539" s="87">
        <v>2904</v>
      </c>
    </row>
    <row r="540" spans="1:1">
      <c r="A540" s="87">
        <v>2905</v>
      </c>
    </row>
    <row r="541" spans="1:1">
      <c r="A541" s="87">
        <v>2906</v>
      </c>
    </row>
    <row r="542" spans="1:1">
      <c r="A542" s="87">
        <v>2908</v>
      </c>
    </row>
    <row r="543" spans="1:1">
      <c r="A543" s="87">
        <v>2910</v>
      </c>
    </row>
    <row r="544" spans="1:1">
      <c r="A544" s="87">
        <v>2911</v>
      </c>
    </row>
    <row r="545" spans="1:1">
      <c r="A545" s="87">
        <v>2912</v>
      </c>
    </row>
    <row r="546" spans="1:1">
      <c r="A546" s="87">
        <v>2913</v>
      </c>
    </row>
    <row r="547" spans="1:1">
      <c r="A547" s="87">
        <v>2915</v>
      </c>
    </row>
    <row r="548" spans="1:1">
      <c r="A548" s="87">
        <v>2916</v>
      </c>
    </row>
    <row r="549" spans="1:1">
      <c r="A549" s="87">
        <v>2923</v>
      </c>
    </row>
    <row r="550" spans="1:1">
      <c r="A550" s="87">
        <v>2924</v>
      </c>
    </row>
    <row r="551" spans="1:1">
      <c r="A551" s="87">
        <v>2926</v>
      </c>
    </row>
    <row r="552" spans="1:1">
      <c r="A552" s="87">
        <v>2929</v>
      </c>
    </row>
    <row r="553" spans="1:1">
      <c r="A553" s="87">
        <v>3002</v>
      </c>
    </row>
    <row r="554" spans="1:1">
      <c r="A554" s="87">
        <v>3003</v>
      </c>
    </row>
    <row r="555" spans="1:1">
      <c r="A555" s="87">
        <v>3004</v>
      </c>
    </row>
    <row r="556" spans="1:1">
      <c r="A556" s="87">
        <v>3005</v>
      </c>
    </row>
    <row r="557" spans="1:1">
      <c r="A557" s="87">
        <v>3006</v>
      </c>
    </row>
    <row r="558" spans="1:1">
      <c r="A558" s="87">
        <v>3008</v>
      </c>
    </row>
    <row r="559" spans="1:1">
      <c r="A559" s="87">
        <v>3010</v>
      </c>
    </row>
    <row r="560" spans="1:1">
      <c r="A560" s="87">
        <v>3011</v>
      </c>
    </row>
    <row r="561" spans="1:1">
      <c r="A561" s="87">
        <v>3013</v>
      </c>
    </row>
    <row r="562" spans="1:1">
      <c r="A562" s="87">
        <v>3014</v>
      </c>
    </row>
    <row r="563" spans="1:1">
      <c r="A563" s="87">
        <v>3015</v>
      </c>
    </row>
    <row r="564" spans="1:1">
      <c r="A564" s="87">
        <v>3016</v>
      </c>
    </row>
    <row r="565" spans="1:1">
      <c r="A565" s="87">
        <v>3017</v>
      </c>
    </row>
    <row r="566" spans="1:1">
      <c r="A566" s="87">
        <v>3018</v>
      </c>
    </row>
    <row r="567" spans="1:1">
      <c r="A567" s="87">
        <v>3019</v>
      </c>
    </row>
    <row r="568" spans="1:1">
      <c r="A568" s="87">
        <v>3021</v>
      </c>
    </row>
    <row r="569" spans="1:1">
      <c r="A569" s="87">
        <v>3022</v>
      </c>
    </row>
    <row r="570" spans="1:1">
      <c r="A570" s="87">
        <v>3023</v>
      </c>
    </row>
    <row r="571" spans="1:1">
      <c r="A571" s="87">
        <v>3024</v>
      </c>
    </row>
    <row r="572" spans="1:1">
      <c r="A572" s="87">
        <v>3025</v>
      </c>
    </row>
    <row r="573" spans="1:1">
      <c r="A573" s="87">
        <v>3026</v>
      </c>
    </row>
    <row r="574" spans="1:1">
      <c r="A574" s="87">
        <v>3027</v>
      </c>
    </row>
    <row r="575" spans="1:1">
      <c r="A575" s="87">
        <v>3028</v>
      </c>
    </row>
    <row r="576" spans="1:1">
      <c r="A576" s="87">
        <v>3029</v>
      </c>
    </row>
    <row r="577" spans="1:1">
      <c r="A577" s="87">
        <v>3030</v>
      </c>
    </row>
    <row r="578" spans="1:1">
      <c r="A578" s="87">
        <v>3031</v>
      </c>
    </row>
    <row r="579" spans="1:1">
      <c r="A579" s="87">
        <v>3032</v>
      </c>
    </row>
    <row r="580" spans="1:1">
      <c r="A580" s="87">
        <v>3033</v>
      </c>
    </row>
    <row r="581" spans="1:1">
      <c r="A581" s="87">
        <v>3034</v>
      </c>
    </row>
    <row r="582" spans="1:1">
      <c r="A582" s="87">
        <v>3035</v>
      </c>
    </row>
    <row r="583" spans="1:1">
      <c r="A583" s="87">
        <v>3036</v>
      </c>
    </row>
    <row r="584" spans="1:1">
      <c r="A584" s="87">
        <v>3037</v>
      </c>
    </row>
    <row r="585" spans="1:1">
      <c r="A585" s="87">
        <v>3038</v>
      </c>
    </row>
    <row r="586" spans="1:1">
      <c r="A586" s="87">
        <v>3040</v>
      </c>
    </row>
    <row r="587" spans="1:1">
      <c r="A587" s="87">
        <v>3041</v>
      </c>
    </row>
    <row r="588" spans="1:1">
      <c r="A588" s="87">
        <v>3042</v>
      </c>
    </row>
    <row r="589" spans="1:1">
      <c r="A589" s="87">
        <v>3043</v>
      </c>
    </row>
    <row r="590" spans="1:1">
      <c r="A590" s="87">
        <v>3044</v>
      </c>
    </row>
    <row r="591" spans="1:1">
      <c r="A591" s="87">
        <v>3045</v>
      </c>
    </row>
    <row r="592" spans="1:1">
      <c r="A592" s="87">
        <v>3046</v>
      </c>
    </row>
    <row r="593" spans="1:1">
      <c r="A593" s="87">
        <v>3047</v>
      </c>
    </row>
    <row r="594" spans="1:1">
      <c r="A594" s="87">
        <v>3048</v>
      </c>
    </row>
    <row r="595" spans="1:1">
      <c r="A595" s="87">
        <v>3049</v>
      </c>
    </row>
    <row r="596" spans="1:1">
      <c r="A596" s="87">
        <v>3050</v>
      </c>
    </row>
    <row r="597" spans="1:1">
      <c r="A597" s="87">
        <v>3051</v>
      </c>
    </row>
    <row r="598" spans="1:1">
      <c r="A598" s="87">
        <v>3052</v>
      </c>
    </row>
    <row r="599" spans="1:1">
      <c r="A599" s="87">
        <v>3054</v>
      </c>
    </row>
    <row r="600" spans="1:1">
      <c r="A600" s="87">
        <v>3055</v>
      </c>
    </row>
    <row r="601" spans="1:1">
      <c r="A601" s="87">
        <v>3056</v>
      </c>
    </row>
    <row r="602" spans="1:1">
      <c r="A602" s="87">
        <v>3057</v>
      </c>
    </row>
    <row r="603" spans="1:1">
      <c r="A603" s="87">
        <v>3058</v>
      </c>
    </row>
    <row r="604" spans="1:1">
      <c r="A604" s="87">
        <v>3059</v>
      </c>
    </row>
    <row r="605" spans="1:1">
      <c r="A605" s="87">
        <v>3060</v>
      </c>
    </row>
    <row r="606" spans="1:1">
      <c r="A606" s="87">
        <v>3062</v>
      </c>
    </row>
    <row r="607" spans="1:1">
      <c r="A607" s="87">
        <v>3064</v>
      </c>
    </row>
    <row r="608" spans="1:1">
      <c r="A608" s="87">
        <v>3066</v>
      </c>
    </row>
    <row r="609" spans="1:1">
      <c r="A609" s="87">
        <v>3067</v>
      </c>
    </row>
    <row r="610" spans="1:1">
      <c r="A610" s="87">
        <v>3068</v>
      </c>
    </row>
    <row r="611" spans="1:1">
      <c r="A611" s="87">
        <v>3071</v>
      </c>
    </row>
    <row r="612" spans="1:1">
      <c r="A612" s="87">
        <v>3073</v>
      </c>
    </row>
    <row r="613" spans="1:1">
      <c r="A613" s="87">
        <v>3078</v>
      </c>
    </row>
    <row r="614" spans="1:1">
      <c r="A614" s="87">
        <v>3083</v>
      </c>
    </row>
    <row r="615" spans="1:1">
      <c r="A615" s="87">
        <v>3085</v>
      </c>
    </row>
    <row r="616" spans="1:1">
      <c r="A616" s="87">
        <v>3086</v>
      </c>
    </row>
    <row r="617" spans="1:1">
      <c r="A617" s="87">
        <v>3088</v>
      </c>
    </row>
    <row r="618" spans="1:1">
      <c r="A618" s="87">
        <v>3089</v>
      </c>
    </row>
    <row r="619" spans="1:1">
      <c r="A619" s="87">
        <v>3090</v>
      </c>
    </row>
    <row r="620" spans="1:1">
      <c r="A620" s="87">
        <v>3092</v>
      </c>
    </row>
    <row r="621" spans="1:1">
      <c r="A621" s="87">
        <v>3093</v>
      </c>
    </row>
    <row r="622" spans="1:1">
      <c r="A622" s="87">
        <v>3094</v>
      </c>
    </row>
    <row r="623" spans="1:1">
      <c r="A623" s="87">
        <v>3095</v>
      </c>
    </row>
    <row r="624" spans="1:1">
      <c r="A624" s="87">
        <v>3105</v>
      </c>
    </row>
    <row r="625" spans="1:1">
      <c r="A625" s="87">
        <v>3114</v>
      </c>
    </row>
    <row r="626" spans="1:1">
      <c r="A626" s="87">
        <v>3115</v>
      </c>
    </row>
    <row r="627" spans="1:1">
      <c r="A627" s="87">
        <v>3118</v>
      </c>
    </row>
    <row r="628" spans="1:1">
      <c r="A628" s="87">
        <v>3122</v>
      </c>
    </row>
    <row r="629" spans="1:1">
      <c r="A629" s="87">
        <v>3128</v>
      </c>
    </row>
    <row r="630" spans="1:1">
      <c r="A630" s="87">
        <v>3130</v>
      </c>
    </row>
    <row r="631" spans="1:1">
      <c r="A631" s="87">
        <v>3131</v>
      </c>
    </row>
    <row r="632" spans="1:1">
      <c r="A632" s="87">
        <v>3141</v>
      </c>
    </row>
    <row r="633" spans="1:1">
      <c r="A633" s="87">
        <v>3144</v>
      </c>
    </row>
    <row r="634" spans="1:1">
      <c r="A634" s="87">
        <v>3149</v>
      </c>
    </row>
    <row r="635" spans="1:1">
      <c r="A635" s="87">
        <v>3152</v>
      </c>
    </row>
    <row r="636" spans="1:1">
      <c r="A636" s="87">
        <v>3162</v>
      </c>
    </row>
    <row r="637" spans="1:1">
      <c r="A637" s="87">
        <v>3163</v>
      </c>
    </row>
    <row r="638" spans="1:1">
      <c r="A638" s="87">
        <v>3164</v>
      </c>
    </row>
    <row r="639" spans="1:1">
      <c r="A639" s="87">
        <v>3167</v>
      </c>
    </row>
    <row r="640" spans="1:1">
      <c r="A640" s="87">
        <v>3169</v>
      </c>
    </row>
    <row r="641" spans="1:1">
      <c r="A641" s="87">
        <v>3171</v>
      </c>
    </row>
    <row r="642" spans="1:1">
      <c r="A642" s="87">
        <v>3176</v>
      </c>
    </row>
    <row r="643" spans="1:1">
      <c r="A643" s="87">
        <v>3188</v>
      </c>
    </row>
    <row r="644" spans="1:1">
      <c r="A644" s="87">
        <v>3189</v>
      </c>
    </row>
    <row r="645" spans="1:1">
      <c r="A645" s="87">
        <v>3191</v>
      </c>
    </row>
    <row r="646" spans="1:1">
      <c r="A646" s="87">
        <v>3202</v>
      </c>
    </row>
    <row r="647" spans="1:1">
      <c r="A647" s="87">
        <v>3205</v>
      </c>
    </row>
    <row r="648" spans="1:1">
      <c r="A648" s="87">
        <v>3206</v>
      </c>
    </row>
    <row r="649" spans="1:1">
      <c r="A649" s="87">
        <v>3207</v>
      </c>
    </row>
    <row r="650" spans="1:1">
      <c r="A650" s="87">
        <v>3209</v>
      </c>
    </row>
    <row r="651" spans="1:1">
      <c r="A651" s="87">
        <v>3211</v>
      </c>
    </row>
    <row r="652" spans="1:1">
      <c r="A652" s="87">
        <v>3213</v>
      </c>
    </row>
    <row r="653" spans="1:1">
      <c r="A653" s="87">
        <v>3217</v>
      </c>
    </row>
    <row r="654" spans="1:1">
      <c r="A654" s="87">
        <v>3218</v>
      </c>
    </row>
    <row r="655" spans="1:1">
      <c r="A655" s="87">
        <v>3219</v>
      </c>
    </row>
    <row r="656" spans="1:1">
      <c r="A656" s="87">
        <v>3221</v>
      </c>
    </row>
    <row r="657" spans="1:1">
      <c r="A657" s="87">
        <v>3224</v>
      </c>
    </row>
    <row r="658" spans="1:1">
      <c r="A658" s="87">
        <v>3226</v>
      </c>
    </row>
    <row r="659" spans="1:1">
      <c r="A659" s="87">
        <v>3227</v>
      </c>
    </row>
    <row r="660" spans="1:1">
      <c r="A660" s="87">
        <v>3228</v>
      </c>
    </row>
    <row r="661" spans="1:1">
      <c r="A661" s="87">
        <v>3229</v>
      </c>
    </row>
    <row r="662" spans="1:1">
      <c r="A662" s="87">
        <v>3230</v>
      </c>
    </row>
    <row r="663" spans="1:1">
      <c r="A663" s="87">
        <v>3231</v>
      </c>
    </row>
    <row r="664" spans="1:1">
      <c r="A664" s="87">
        <v>3232</v>
      </c>
    </row>
    <row r="665" spans="1:1">
      <c r="A665" s="87">
        <v>3234</v>
      </c>
    </row>
    <row r="666" spans="1:1">
      <c r="A666" s="87">
        <v>3236</v>
      </c>
    </row>
    <row r="667" spans="1:1">
      <c r="A667" s="87">
        <v>3252</v>
      </c>
    </row>
    <row r="668" spans="1:1">
      <c r="A668" s="87">
        <v>3257</v>
      </c>
    </row>
    <row r="669" spans="1:1">
      <c r="A669" s="87">
        <v>3259</v>
      </c>
    </row>
    <row r="670" spans="1:1">
      <c r="A670" s="87">
        <v>3260</v>
      </c>
    </row>
    <row r="671" spans="1:1">
      <c r="A671" s="87">
        <v>3264</v>
      </c>
    </row>
    <row r="672" spans="1:1">
      <c r="A672" s="87">
        <v>3265</v>
      </c>
    </row>
    <row r="673" spans="1:1">
      <c r="A673" s="87">
        <v>3266</v>
      </c>
    </row>
    <row r="674" spans="1:1">
      <c r="A674" s="87">
        <v>3268</v>
      </c>
    </row>
    <row r="675" spans="1:1">
      <c r="A675" s="87">
        <v>3272</v>
      </c>
    </row>
    <row r="676" spans="1:1">
      <c r="A676" s="87">
        <v>3276</v>
      </c>
    </row>
    <row r="677" spans="1:1">
      <c r="A677" s="87">
        <v>3284</v>
      </c>
    </row>
    <row r="678" spans="1:1">
      <c r="A678" s="87">
        <v>3285</v>
      </c>
    </row>
    <row r="679" spans="1:1">
      <c r="A679" s="87">
        <v>3287</v>
      </c>
    </row>
    <row r="680" spans="1:1">
      <c r="A680" s="87">
        <v>3288</v>
      </c>
    </row>
    <row r="681" spans="1:1">
      <c r="A681" s="87">
        <v>3289</v>
      </c>
    </row>
    <row r="682" spans="1:1">
      <c r="A682" s="87">
        <v>3290</v>
      </c>
    </row>
    <row r="683" spans="1:1">
      <c r="A683" s="87">
        <v>3291</v>
      </c>
    </row>
    <row r="684" spans="1:1">
      <c r="A684" s="87">
        <v>3293</v>
      </c>
    </row>
    <row r="685" spans="1:1">
      <c r="A685" s="87">
        <v>3294</v>
      </c>
    </row>
    <row r="686" spans="1:1">
      <c r="A686" s="87">
        <v>3296</v>
      </c>
    </row>
    <row r="687" spans="1:1">
      <c r="A687" s="87">
        <v>3297</v>
      </c>
    </row>
    <row r="688" spans="1:1">
      <c r="A688" s="87">
        <v>3299</v>
      </c>
    </row>
    <row r="689" spans="1:1">
      <c r="A689" s="87">
        <v>3303</v>
      </c>
    </row>
    <row r="690" spans="1:1">
      <c r="A690" s="87">
        <v>3305</v>
      </c>
    </row>
    <row r="691" spans="1:1">
      <c r="A691" s="87">
        <v>3306</v>
      </c>
    </row>
    <row r="692" spans="1:1">
      <c r="A692" s="87">
        <v>3308</v>
      </c>
    </row>
    <row r="693" spans="1:1">
      <c r="A693" s="87">
        <v>3310</v>
      </c>
    </row>
    <row r="694" spans="1:1">
      <c r="A694" s="87">
        <v>3311</v>
      </c>
    </row>
    <row r="695" spans="1:1">
      <c r="A695" s="87">
        <v>3312</v>
      </c>
    </row>
    <row r="696" spans="1:1">
      <c r="A696" s="87">
        <v>3313</v>
      </c>
    </row>
    <row r="697" spans="1:1">
      <c r="A697" s="87">
        <v>3315</v>
      </c>
    </row>
    <row r="698" spans="1:1">
      <c r="A698" s="87">
        <v>3317</v>
      </c>
    </row>
    <row r="699" spans="1:1">
      <c r="A699" s="87">
        <v>3322</v>
      </c>
    </row>
    <row r="700" spans="1:1">
      <c r="A700" s="87">
        <v>3323</v>
      </c>
    </row>
    <row r="701" spans="1:1">
      <c r="A701" s="87">
        <v>3324</v>
      </c>
    </row>
    <row r="702" spans="1:1">
      <c r="A702" s="87">
        <v>3325</v>
      </c>
    </row>
    <row r="703" spans="1:1">
      <c r="A703" s="87">
        <v>3332</v>
      </c>
    </row>
    <row r="704" spans="1:1">
      <c r="A704" s="87">
        <v>3338</v>
      </c>
    </row>
    <row r="705" spans="1:1">
      <c r="A705" s="87">
        <v>3339</v>
      </c>
    </row>
    <row r="706" spans="1:1">
      <c r="A706" s="87">
        <v>3354</v>
      </c>
    </row>
    <row r="707" spans="1:1">
      <c r="A707" s="87">
        <v>3356</v>
      </c>
    </row>
    <row r="708" spans="1:1">
      <c r="A708" s="87">
        <v>3360</v>
      </c>
    </row>
    <row r="709" spans="1:1">
      <c r="A709" s="87">
        <v>3362</v>
      </c>
    </row>
    <row r="710" spans="1:1">
      <c r="A710" s="87">
        <v>3363</v>
      </c>
    </row>
    <row r="711" spans="1:1">
      <c r="A711" s="87">
        <v>3372</v>
      </c>
    </row>
    <row r="712" spans="1:1">
      <c r="A712" s="87">
        <v>3373</v>
      </c>
    </row>
    <row r="713" spans="1:1">
      <c r="A713" s="87">
        <v>3374</v>
      </c>
    </row>
    <row r="714" spans="1:1">
      <c r="A714" s="87">
        <v>3376</v>
      </c>
    </row>
    <row r="715" spans="1:1">
      <c r="A715" s="87">
        <v>3379</v>
      </c>
    </row>
    <row r="716" spans="1:1">
      <c r="A716" s="87">
        <v>3380</v>
      </c>
    </row>
    <row r="717" spans="1:1">
      <c r="A717" s="87">
        <v>3383</v>
      </c>
    </row>
    <row r="718" spans="1:1">
      <c r="A718" s="87">
        <v>3388</v>
      </c>
    </row>
    <row r="719" spans="1:1">
      <c r="A719" s="87">
        <v>3390</v>
      </c>
    </row>
    <row r="720" spans="1:1">
      <c r="A720" s="87">
        <v>3402</v>
      </c>
    </row>
    <row r="721" spans="1:1">
      <c r="A721" s="87">
        <v>3406</v>
      </c>
    </row>
    <row r="722" spans="1:1">
      <c r="A722" s="87">
        <v>3416</v>
      </c>
    </row>
    <row r="723" spans="1:1">
      <c r="A723" s="87">
        <v>3419</v>
      </c>
    </row>
    <row r="724" spans="1:1">
      <c r="A724" s="87">
        <v>3428</v>
      </c>
    </row>
    <row r="725" spans="1:1">
      <c r="A725" s="87">
        <v>3431</v>
      </c>
    </row>
    <row r="726" spans="1:1">
      <c r="A726" s="87">
        <v>3432</v>
      </c>
    </row>
    <row r="727" spans="1:1">
      <c r="A727" s="87">
        <v>3434</v>
      </c>
    </row>
    <row r="728" spans="1:1">
      <c r="A728" s="87">
        <v>3437</v>
      </c>
    </row>
    <row r="729" spans="1:1">
      <c r="A729" s="87">
        <v>3438</v>
      </c>
    </row>
    <row r="730" spans="1:1">
      <c r="A730" s="87">
        <v>3441</v>
      </c>
    </row>
    <row r="731" spans="1:1">
      <c r="A731" s="87">
        <v>3443</v>
      </c>
    </row>
    <row r="732" spans="1:1">
      <c r="A732" s="87">
        <v>3444</v>
      </c>
    </row>
    <row r="733" spans="1:1">
      <c r="A733" s="87">
        <v>3450</v>
      </c>
    </row>
    <row r="734" spans="1:1">
      <c r="A734" s="87">
        <v>3452</v>
      </c>
    </row>
    <row r="735" spans="1:1">
      <c r="A735" s="87">
        <v>3454</v>
      </c>
    </row>
    <row r="736" spans="1:1">
      <c r="A736" s="87">
        <v>3455</v>
      </c>
    </row>
    <row r="737" spans="1:1">
      <c r="A737" s="87">
        <v>3465</v>
      </c>
    </row>
    <row r="738" spans="1:1">
      <c r="A738" s="87">
        <v>3466</v>
      </c>
    </row>
    <row r="739" spans="1:1">
      <c r="A739" s="87">
        <v>3474</v>
      </c>
    </row>
    <row r="740" spans="1:1">
      <c r="A740" s="87">
        <v>3479</v>
      </c>
    </row>
    <row r="741" spans="1:1">
      <c r="A741" s="87">
        <v>3481</v>
      </c>
    </row>
    <row r="742" spans="1:1">
      <c r="A742" s="87">
        <v>3483</v>
      </c>
    </row>
    <row r="743" spans="1:1">
      <c r="A743" s="87">
        <v>3484</v>
      </c>
    </row>
    <row r="744" spans="1:1">
      <c r="A744" s="87">
        <v>3489</v>
      </c>
    </row>
    <row r="745" spans="1:1">
      <c r="A745" s="87">
        <v>3490</v>
      </c>
    </row>
    <row r="746" spans="1:1">
      <c r="A746" s="87">
        <v>3491</v>
      </c>
    </row>
    <row r="747" spans="1:1">
      <c r="A747" s="87">
        <v>3494</v>
      </c>
    </row>
    <row r="748" spans="1:1">
      <c r="A748" s="87">
        <v>3498</v>
      </c>
    </row>
    <row r="749" spans="1:1">
      <c r="A749" s="87">
        <v>3499</v>
      </c>
    </row>
    <row r="750" spans="1:1">
      <c r="A750" s="87">
        <v>3501</v>
      </c>
    </row>
    <row r="751" spans="1:1">
      <c r="A751" s="87">
        <v>3504</v>
      </c>
    </row>
    <row r="752" spans="1:1">
      <c r="A752" s="87">
        <v>3508</v>
      </c>
    </row>
    <row r="753" spans="1:1">
      <c r="A753" s="87">
        <v>3511</v>
      </c>
    </row>
    <row r="754" spans="1:1">
      <c r="A754" s="87">
        <v>3512</v>
      </c>
    </row>
    <row r="755" spans="1:1">
      <c r="A755" s="87">
        <v>3514</v>
      </c>
    </row>
    <row r="756" spans="1:1">
      <c r="A756" s="87">
        <v>3515</v>
      </c>
    </row>
    <row r="757" spans="1:1">
      <c r="A757" s="87">
        <v>3516</v>
      </c>
    </row>
    <row r="758" spans="1:1">
      <c r="A758" s="87">
        <v>3518</v>
      </c>
    </row>
    <row r="759" spans="1:1">
      <c r="A759" s="87">
        <v>3519</v>
      </c>
    </row>
    <row r="760" spans="1:1">
      <c r="A760" s="87">
        <v>3520</v>
      </c>
    </row>
    <row r="761" spans="1:1">
      <c r="A761" s="87">
        <v>3521</v>
      </c>
    </row>
    <row r="762" spans="1:1">
      <c r="A762" s="87">
        <v>3522</v>
      </c>
    </row>
    <row r="763" spans="1:1">
      <c r="A763" s="87">
        <v>3523</v>
      </c>
    </row>
    <row r="764" spans="1:1">
      <c r="A764" s="87">
        <v>3526</v>
      </c>
    </row>
    <row r="765" spans="1:1">
      <c r="A765" s="87">
        <v>3527</v>
      </c>
    </row>
    <row r="766" spans="1:1">
      <c r="A766" s="87">
        <v>3528</v>
      </c>
    </row>
    <row r="767" spans="1:1">
      <c r="A767" s="87">
        <v>3529</v>
      </c>
    </row>
    <row r="768" spans="1:1">
      <c r="A768" s="87">
        <v>3531</v>
      </c>
    </row>
    <row r="769" spans="1:1">
      <c r="A769" s="87">
        <v>3532</v>
      </c>
    </row>
    <row r="770" spans="1:1">
      <c r="A770" s="87">
        <v>3533</v>
      </c>
    </row>
    <row r="771" spans="1:1">
      <c r="A771" s="87">
        <v>3535</v>
      </c>
    </row>
    <row r="772" spans="1:1">
      <c r="A772" s="87">
        <v>3536</v>
      </c>
    </row>
    <row r="773" spans="1:1">
      <c r="A773" s="87">
        <v>3537</v>
      </c>
    </row>
    <row r="774" spans="1:1">
      <c r="A774" s="87">
        <v>3540</v>
      </c>
    </row>
    <row r="775" spans="1:1">
      <c r="A775" s="87">
        <v>3541</v>
      </c>
    </row>
    <row r="776" spans="1:1">
      <c r="A776" s="87">
        <v>3545</v>
      </c>
    </row>
    <row r="777" spans="1:1">
      <c r="A777" s="87">
        <v>3546</v>
      </c>
    </row>
    <row r="778" spans="1:1">
      <c r="A778" s="87">
        <v>3548</v>
      </c>
    </row>
    <row r="779" spans="1:1">
      <c r="A779" s="87">
        <v>3550</v>
      </c>
    </row>
    <row r="780" spans="1:1">
      <c r="A780" s="87">
        <v>3551</v>
      </c>
    </row>
    <row r="781" spans="1:1">
      <c r="A781" s="87">
        <v>3552</v>
      </c>
    </row>
    <row r="782" spans="1:1">
      <c r="A782" s="87">
        <v>3553</v>
      </c>
    </row>
    <row r="783" spans="1:1">
      <c r="A783" s="87">
        <v>3555</v>
      </c>
    </row>
    <row r="784" spans="1:1">
      <c r="A784" s="87">
        <v>3556</v>
      </c>
    </row>
    <row r="785" spans="1:1">
      <c r="A785" s="87">
        <v>3557</v>
      </c>
    </row>
    <row r="786" spans="1:1">
      <c r="A786" s="87">
        <v>3558</v>
      </c>
    </row>
    <row r="787" spans="1:1">
      <c r="A787" s="87">
        <v>3559</v>
      </c>
    </row>
    <row r="788" spans="1:1">
      <c r="A788" s="87">
        <v>3561</v>
      </c>
    </row>
    <row r="789" spans="1:1">
      <c r="A789" s="87">
        <v>3562</v>
      </c>
    </row>
    <row r="790" spans="1:1">
      <c r="A790" s="87">
        <v>3563</v>
      </c>
    </row>
    <row r="791" spans="1:1">
      <c r="A791" s="87">
        <v>3564</v>
      </c>
    </row>
    <row r="792" spans="1:1">
      <c r="A792" s="87">
        <v>3567</v>
      </c>
    </row>
    <row r="793" spans="1:1">
      <c r="A793" s="87">
        <v>3570</v>
      </c>
    </row>
    <row r="794" spans="1:1">
      <c r="A794" s="87">
        <v>3573</v>
      </c>
    </row>
    <row r="795" spans="1:1">
      <c r="A795" s="87">
        <v>3576</v>
      </c>
    </row>
    <row r="796" spans="1:1">
      <c r="A796" s="87">
        <v>3577</v>
      </c>
    </row>
    <row r="797" spans="1:1">
      <c r="A797" s="87">
        <v>3579</v>
      </c>
    </row>
    <row r="798" spans="1:1">
      <c r="A798" s="87">
        <v>3580</v>
      </c>
    </row>
    <row r="799" spans="1:1">
      <c r="A799" s="87">
        <v>3581</v>
      </c>
    </row>
    <row r="800" spans="1:1">
      <c r="A800" s="87">
        <v>3583</v>
      </c>
    </row>
    <row r="801" spans="1:1">
      <c r="A801" s="87">
        <v>3584</v>
      </c>
    </row>
    <row r="802" spans="1:1">
      <c r="A802" s="87">
        <v>3587</v>
      </c>
    </row>
    <row r="803" spans="1:1">
      <c r="A803" s="87">
        <v>3588</v>
      </c>
    </row>
    <row r="804" spans="1:1">
      <c r="A804" s="87">
        <v>3591</v>
      </c>
    </row>
    <row r="805" spans="1:1">
      <c r="A805" s="87">
        <v>3593</v>
      </c>
    </row>
    <row r="806" spans="1:1">
      <c r="A806" s="87">
        <v>3594</v>
      </c>
    </row>
    <row r="807" spans="1:1">
      <c r="A807" s="87">
        <v>3596</v>
      </c>
    </row>
    <row r="808" spans="1:1">
      <c r="A808" s="87">
        <v>3598</v>
      </c>
    </row>
    <row r="809" spans="1:1">
      <c r="A809" s="87">
        <v>3605</v>
      </c>
    </row>
    <row r="810" spans="1:1">
      <c r="A810" s="87">
        <v>3607</v>
      </c>
    </row>
    <row r="811" spans="1:1">
      <c r="A811" s="87">
        <v>3609</v>
      </c>
    </row>
    <row r="812" spans="1:1">
      <c r="A812" s="87">
        <v>3611</v>
      </c>
    </row>
    <row r="813" spans="1:1">
      <c r="A813" s="87">
        <v>3615</v>
      </c>
    </row>
    <row r="814" spans="1:1">
      <c r="A814" s="87">
        <v>3617</v>
      </c>
    </row>
    <row r="815" spans="1:1">
      <c r="A815" s="87">
        <v>3622</v>
      </c>
    </row>
    <row r="816" spans="1:1">
      <c r="A816" s="87">
        <v>3623</v>
      </c>
    </row>
    <row r="817" spans="1:1">
      <c r="A817" s="87">
        <v>3624</v>
      </c>
    </row>
    <row r="818" spans="1:1">
      <c r="A818" s="87">
        <v>3625</v>
      </c>
    </row>
    <row r="819" spans="1:1">
      <c r="A819" s="87">
        <v>3628</v>
      </c>
    </row>
    <row r="820" spans="1:1">
      <c r="A820" s="87">
        <v>3629</v>
      </c>
    </row>
    <row r="821" spans="1:1">
      <c r="A821" s="87">
        <v>3630</v>
      </c>
    </row>
    <row r="822" spans="1:1">
      <c r="A822" s="87">
        <v>3631</v>
      </c>
    </row>
    <row r="823" spans="1:1">
      <c r="A823" s="87">
        <v>3632</v>
      </c>
    </row>
    <row r="824" spans="1:1">
      <c r="A824" s="87">
        <v>3642</v>
      </c>
    </row>
    <row r="825" spans="1:1">
      <c r="A825" s="87">
        <v>3645</v>
      </c>
    </row>
    <row r="826" spans="1:1">
      <c r="A826" s="87">
        <v>3646</v>
      </c>
    </row>
    <row r="827" spans="1:1">
      <c r="A827" s="87">
        <v>3652</v>
      </c>
    </row>
    <row r="828" spans="1:1">
      <c r="A828" s="87">
        <v>3653</v>
      </c>
    </row>
    <row r="829" spans="1:1">
      <c r="A829" s="87">
        <v>3658</v>
      </c>
    </row>
    <row r="830" spans="1:1">
      <c r="A830" s="87">
        <v>3661</v>
      </c>
    </row>
    <row r="831" spans="1:1">
      <c r="A831" s="87">
        <v>3662</v>
      </c>
    </row>
    <row r="832" spans="1:1">
      <c r="A832" s="87">
        <v>3663</v>
      </c>
    </row>
    <row r="833" spans="1:1">
      <c r="A833" s="87">
        <v>3664</v>
      </c>
    </row>
    <row r="834" spans="1:1">
      <c r="A834" s="87">
        <v>3665</v>
      </c>
    </row>
    <row r="835" spans="1:1">
      <c r="A835" s="87">
        <v>3666</v>
      </c>
    </row>
    <row r="836" spans="1:1">
      <c r="A836" s="87">
        <v>3669</v>
      </c>
    </row>
    <row r="837" spans="1:1">
      <c r="A837" s="87">
        <v>3672</v>
      </c>
    </row>
    <row r="838" spans="1:1">
      <c r="A838" s="87">
        <v>3673</v>
      </c>
    </row>
    <row r="839" spans="1:1">
      <c r="A839" s="87">
        <v>3675</v>
      </c>
    </row>
    <row r="840" spans="1:1">
      <c r="A840" s="87">
        <v>3679</v>
      </c>
    </row>
    <row r="841" spans="1:1">
      <c r="A841" s="87">
        <v>3680</v>
      </c>
    </row>
    <row r="842" spans="1:1">
      <c r="A842" s="87">
        <v>3682</v>
      </c>
    </row>
    <row r="843" spans="1:1">
      <c r="A843" s="87">
        <v>3684</v>
      </c>
    </row>
    <row r="844" spans="1:1">
      <c r="A844" s="87">
        <v>3685</v>
      </c>
    </row>
    <row r="845" spans="1:1">
      <c r="A845" s="87">
        <v>3686</v>
      </c>
    </row>
    <row r="846" spans="1:1">
      <c r="A846" s="87">
        <v>3687</v>
      </c>
    </row>
    <row r="847" spans="1:1">
      <c r="A847" s="87">
        <v>3689</v>
      </c>
    </row>
    <row r="848" spans="1:1">
      <c r="A848" s="87">
        <v>3691</v>
      </c>
    </row>
    <row r="849" spans="1:1">
      <c r="A849" s="87">
        <v>3693</v>
      </c>
    </row>
    <row r="850" spans="1:1">
      <c r="A850" s="87">
        <v>3694</v>
      </c>
    </row>
    <row r="851" spans="1:1">
      <c r="A851" s="87">
        <v>3698</v>
      </c>
    </row>
    <row r="852" spans="1:1">
      <c r="A852" s="87">
        <v>3701</v>
      </c>
    </row>
    <row r="853" spans="1:1">
      <c r="A853" s="87">
        <v>3702</v>
      </c>
    </row>
    <row r="854" spans="1:1">
      <c r="A854" s="87">
        <v>3703</v>
      </c>
    </row>
    <row r="855" spans="1:1">
      <c r="A855" s="87">
        <v>3704</v>
      </c>
    </row>
    <row r="856" spans="1:1">
      <c r="A856" s="87">
        <v>3705</v>
      </c>
    </row>
    <row r="857" spans="1:1">
      <c r="A857" s="87">
        <v>3706</v>
      </c>
    </row>
    <row r="858" spans="1:1">
      <c r="A858" s="87">
        <v>3707</v>
      </c>
    </row>
    <row r="859" spans="1:1">
      <c r="A859" s="87">
        <v>4102</v>
      </c>
    </row>
    <row r="860" spans="1:1">
      <c r="A860" s="87">
        <v>4103</v>
      </c>
    </row>
    <row r="861" spans="1:1">
      <c r="A861" s="87">
        <v>4104</v>
      </c>
    </row>
    <row r="862" spans="1:1">
      <c r="A862" s="87">
        <v>4105</v>
      </c>
    </row>
    <row r="863" spans="1:1">
      <c r="A863" s="87">
        <v>4106</v>
      </c>
    </row>
    <row r="864" spans="1:1">
      <c r="A864" s="87">
        <v>4107</v>
      </c>
    </row>
    <row r="865" spans="1:1">
      <c r="A865" s="87">
        <v>4108</v>
      </c>
    </row>
    <row r="866" spans="1:1">
      <c r="A866" s="87">
        <v>4109</v>
      </c>
    </row>
    <row r="867" spans="1:1">
      <c r="A867" s="87">
        <v>4111</v>
      </c>
    </row>
    <row r="868" spans="1:1">
      <c r="A868" s="87">
        <v>4113</v>
      </c>
    </row>
    <row r="869" spans="1:1">
      <c r="A869" s="87">
        <v>4114</v>
      </c>
    </row>
    <row r="870" spans="1:1">
      <c r="A870" s="87">
        <v>4119</v>
      </c>
    </row>
    <row r="871" spans="1:1">
      <c r="A871" s="87">
        <v>4120</v>
      </c>
    </row>
    <row r="872" spans="1:1">
      <c r="A872" s="87">
        <v>4121</v>
      </c>
    </row>
    <row r="873" spans="1:1">
      <c r="A873" s="87">
        <v>4123</v>
      </c>
    </row>
    <row r="874" spans="1:1">
      <c r="A874" s="87">
        <v>4126</v>
      </c>
    </row>
    <row r="875" spans="1:1">
      <c r="A875" s="87">
        <v>4127</v>
      </c>
    </row>
    <row r="876" spans="1:1">
      <c r="A876" s="87">
        <v>4128</v>
      </c>
    </row>
    <row r="877" spans="1:1">
      <c r="A877" s="87">
        <v>4129</v>
      </c>
    </row>
    <row r="878" spans="1:1">
      <c r="A878" s="87">
        <v>4130</v>
      </c>
    </row>
    <row r="879" spans="1:1">
      <c r="A879" s="87">
        <v>4131</v>
      </c>
    </row>
    <row r="880" spans="1:1">
      <c r="A880" s="87">
        <v>4133</v>
      </c>
    </row>
    <row r="881" spans="1:1">
      <c r="A881" s="87">
        <v>4137</v>
      </c>
    </row>
    <row r="882" spans="1:1">
      <c r="A882" s="87">
        <v>4138</v>
      </c>
    </row>
    <row r="883" spans="1:1">
      <c r="A883" s="87">
        <v>4139</v>
      </c>
    </row>
    <row r="884" spans="1:1">
      <c r="A884" s="87">
        <v>4141</v>
      </c>
    </row>
    <row r="885" spans="1:1">
      <c r="A885" s="87">
        <v>4142</v>
      </c>
    </row>
    <row r="886" spans="1:1">
      <c r="A886" s="87">
        <v>4144</v>
      </c>
    </row>
    <row r="887" spans="1:1">
      <c r="A887" s="87">
        <v>4152</v>
      </c>
    </row>
    <row r="888" spans="1:1">
      <c r="A888" s="87">
        <v>4153</v>
      </c>
    </row>
    <row r="889" spans="1:1">
      <c r="A889" s="87">
        <v>4154</v>
      </c>
    </row>
    <row r="890" spans="1:1">
      <c r="A890" s="87">
        <v>4157</v>
      </c>
    </row>
    <row r="891" spans="1:1">
      <c r="A891" s="87">
        <v>4160</v>
      </c>
    </row>
    <row r="892" spans="1:1">
      <c r="A892" s="87">
        <v>4161</v>
      </c>
    </row>
    <row r="893" spans="1:1">
      <c r="A893" s="87">
        <v>4162</v>
      </c>
    </row>
    <row r="894" spans="1:1">
      <c r="A894" s="87">
        <v>4163</v>
      </c>
    </row>
    <row r="895" spans="1:1">
      <c r="A895" s="87">
        <v>4164</v>
      </c>
    </row>
    <row r="896" spans="1:1">
      <c r="A896" s="87">
        <v>4168</v>
      </c>
    </row>
    <row r="897" spans="1:1">
      <c r="A897" s="87">
        <v>4171</v>
      </c>
    </row>
    <row r="898" spans="1:1">
      <c r="A898" s="87">
        <v>4173</v>
      </c>
    </row>
    <row r="899" spans="1:1">
      <c r="A899" s="87">
        <v>4174</v>
      </c>
    </row>
    <row r="900" spans="1:1">
      <c r="A900" s="87">
        <v>4175</v>
      </c>
    </row>
    <row r="901" spans="1:1">
      <c r="A901" s="87">
        <v>4180</v>
      </c>
    </row>
    <row r="902" spans="1:1">
      <c r="A902" s="87">
        <v>4188</v>
      </c>
    </row>
    <row r="903" spans="1:1">
      <c r="A903" s="87">
        <v>4192</v>
      </c>
    </row>
    <row r="904" spans="1:1">
      <c r="A904" s="87">
        <v>4198</v>
      </c>
    </row>
    <row r="905" spans="1:1">
      <c r="A905" s="87">
        <v>4205</v>
      </c>
    </row>
    <row r="906" spans="1:1">
      <c r="A906" s="87">
        <v>4207</v>
      </c>
    </row>
    <row r="907" spans="1:1">
      <c r="A907" s="87">
        <v>4303</v>
      </c>
    </row>
    <row r="908" spans="1:1">
      <c r="A908" s="87">
        <v>4304</v>
      </c>
    </row>
    <row r="909" spans="1:1">
      <c r="A909" s="87">
        <v>4305</v>
      </c>
    </row>
    <row r="910" spans="1:1">
      <c r="A910" s="87">
        <v>4306</v>
      </c>
    </row>
    <row r="911" spans="1:1">
      <c r="A911" s="87">
        <v>4401</v>
      </c>
    </row>
    <row r="912" spans="1:1">
      <c r="A912" s="87">
        <v>4402</v>
      </c>
    </row>
    <row r="913" spans="1:1">
      <c r="A913" s="87">
        <v>4406</v>
      </c>
    </row>
    <row r="914" spans="1:1">
      <c r="A914" s="87">
        <v>4414</v>
      </c>
    </row>
    <row r="915" spans="1:1">
      <c r="A915" s="87">
        <v>4415</v>
      </c>
    </row>
    <row r="916" spans="1:1">
      <c r="A916" s="87">
        <v>4416</v>
      </c>
    </row>
    <row r="917" spans="1:1">
      <c r="A917" s="87">
        <v>4417</v>
      </c>
    </row>
    <row r="918" spans="1:1">
      <c r="A918" s="87">
        <v>4419</v>
      </c>
    </row>
    <row r="919" spans="1:1">
      <c r="A919" s="87">
        <v>4420</v>
      </c>
    </row>
    <row r="920" spans="1:1">
      <c r="A920" s="87">
        <v>4426</v>
      </c>
    </row>
    <row r="921" spans="1:1">
      <c r="A921" s="87">
        <v>4429</v>
      </c>
    </row>
    <row r="922" spans="1:1">
      <c r="A922" s="87">
        <v>4430</v>
      </c>
    </row>
    <row r="923" spans="1:1">
      <c r="A923" s="87">
        <v>4432</v>
      </c>
    </row>
    <row r="924" spans="1:1">
      <c r="A924" s="87">
        <v>4433</v>
      </c>
    </row>
    <row r="925" spans="1:1">
      <c r="A925" s="87">
        <v>4502</v>
      </c>
    </row>
    <row r="926" spans="1:1">
      <c r="A926" s="87">
        <v>4503</v>
      </c>
    </row>
    <row r="927" spans="1:1">
      <c r="A927" s="87">
        <v>4506</v>
      </c>
    </row>
    <row r="928" spans="1:1">
      <c r="A928" s="87">
        <v>4510</v>
      </c>
    </row>
    <row r="929" spans="1:1">
      <c r="A929" s="87">
        <v>4513</v>
      </c>
    </row>
    <row r="930" spans="1:1">
      <c r="A930" s="87">
        <v>4523</v>
      </c>
    </row>
    <row r="931" spans="1:1">
      <c r="A931" s="87">
        <v>4526</v>
      </c>
    </row>
    <row r="932" spans="1:1">
      <c r="A932" s="87">
        <v>4527</v>
      </c>
    </row>
    <row r="933" spans="1:1">
      <c r="A933" s="87">
        <v>4528</v>
      </c>
    </row>
    <row r="934" spans="1:1">
      <c r="A934" s="87">
        <v>4529</v>
      </c>
    </row>
    <row r="935" spans="1:1">
      <c r="A935" s="87">
        <v>4530</v>
      </c>
    </row>
    <row r="936" spans="1:1">
      <c r="A936" s="87">
        <v>4532</v>
      </c>
    </row>
    <row r="937" spans="1:1">
      <c r="A937" s="87">
        <v>4533</v>
      </c>
    </row>
    <row r="938" spans="1:1">
      <c r="A938" s="87">
        <v>4534</v>
      </c>
    </row>
    <row r="939" spans="1:1">
      <c r="A939" s="87">
        <v>4535</v>
      </c>
    </row>
    <row r="940" spans="1:1">
      <c r="A940" s="87">
        <v>4536</v>
      </c>
    </row>
    <row r="941" spans="1:1">
      <c r="A941" s="87">
        <v>4541</v>
      </c>
    </row>
    <row r="942" spans="1:1">
      <c r="A942" s="87">
        <v>4542</v>
      </c>
    </row>
    <row r="943" spans="1:1">
      <c r="A943" s="87">
        <v>4549</v>
      </c>
    </row>
    <row r="944" spans="1:1">
      <c r="A944" s="87">
        <v>4550</v>
      </c>
    </row>
    <row r="945" spans="1:1">
      <c r="A945" s="87">
        <v>4609</v>
      </c>
    </row>
    <row r="946" spans="1:1">
      <c r="A946" s="87">
        <v>4702</v>
      </c>
    </row>
    <row r="947" spans="1:1">
      <c r="A947" s="87">
        <v>4703</v>
      </c>
    </row>
    <row r="948" spans="1:1">
      <c r="A948" s="87">
        <v>4706</v>
      </c>
    </row>
    <row r="949" spans="1:1">
      <c r="A949" s="87">
        <v>4707</v>
      </c>
    </row>
    <row r="950" spans="1:1">
      <c r="A950" s="87">
        <v>4711</v>
      </c>
    </row>
    <row r="951" spans="1:1">
      <c r="A951" s="87">
        <v>4712</v>
      </c>
    </row>
    <row r="952" spans="1:1">
      <c r="A952" s="87">
        <v>4714</v>
      </c>
    </row>
    <row r="953" spans="1:1">
      <c r="A953" s="87">
        <v>4716</v>
      </c>
    </row>
    <row r="954" spans="1:1">
      <c r="A954" s="87">
        <v>4720</v>
      </c>
    </row>
    <row r="955" spans="1:1">
      <c r="A955" s="87">
        <v>4721</v>
      </c>
    </row>
    <row r="956" spans="1:1">
      <c r="A956" s="87">
        <v>4722</v>
      </c>
    </row>
    <row r="957" spans="1:1">
      <c r="A957" s="87">
        <v>4725</v>
      </c>
    </row>
    <row r="958" spans="1:1">
      <c r="A958" s="87">
        <v>4726</v>
      </c>
    </row>
    <row r="959" spans="1:1">
      <c r="A959" s="87">
        <v>4728</v>
      </c>
    </row>
    <row r="960" spans="1:1">
      <c r="A960" s="87">
        <v>4729</v>
      </c>
    </row>
    <row r="961" spans="1:1">
      <c r="A961" s="87">
        <v>4733</v>
      </c>
    </row>
    <row r="962" spans="1:1">
      <c r="A962" s="87">
        <v>4735</v>
      </c>
    </row>
    <row r="963" spans="1:1">
      <c r="A963" s="87">
        <v>4736</v>
      </c>
    </row>
    <row r="964" spans="1:1">
      <c r="A964" s="87">
        <v>4737</v>
      </c>
    </row>
    <row r="965" spans="1:1">
      <c r="A965" s="87">
        <v>4739</v>
      </c>
    </row>
    <row r="966" spans="1:1">
      <c r="A966" s="87">
        <v>4743</v>
      </c>
    </row>
    <row r="967" spans="1:1">
      <c r="A967" s="87">
        <v>4745</v>
      </c>
    </row>
    <row r="968" spans="1:1">
      <c r="A968" s="87">
        <v>4746</v>
      </c>
    </row>
    <row r="969" spans="1:1">
      <c r="A969" s="87">
        <v>4747</v>
      </c>
    </row>
    <row r="970" spans="1:1">
      <c r="A970" s="87">
        <v>4755</v>
      </c>
    </row>
    <row r="971" spans="1:1">
      <c r="A971" s="87">
        <v>4903</v>
      </c>
    </row>
    <row r="972" spans="1:1">
      <c r="A972" s="87">
        <v>4904</v>
      </c>
    </row>
    <row r="973" spans="1:1">
      <c r="A973" s="87">
        <v>4905</v>
      </c>
    </row>
    <row r="974" spans="1:1">
      <c r="A974" s="87">
        <v>4906</v>
      </c>
    </row>
    <row r="975" spans="1:1">
      <c r="A975" s="87">
        <v>4908</v>
      </c>
    </row>
    <row r="976" spans="1:1">
      <c r="A976" s="87">
        <v>4909</v>
      </c>
    </row>
    <row r="977" spans="1:1">
      <c r="A977" s="87">
        <v>4911</v>
      </c>
    </row>
    <row r="978" spans="1:1">
      <c r="A978" s="87">
        <v>4912</v>
      </c>
    </row>
    <row r="979" spans="1:1">
      <c r="A979" s="87">
        <v>4915</v>
      </c>
    </row>
    <row r="980" spans="1:1">
      <c r="A980" s="87">
        <v>4916</v>
      </c>
    </row>
    <row r="981" spans="1:1">
      <c r="A981" s="87">
        <v>4919</v>
      </c>
    </row>
    <row r="982" spans="1:1">
      <c r="A982" s="87">
        <v>4924</v>
      </c>
    </row>
    <row r="983" spans="1:1">
      <c r="A983" s="87">
        <v>4927</v>
      </c>
    </row>
    <row r="984" spans="1:1">
      <c r="A984" s="87">
        <v>4930</v>
      </c>
    </row>
    <row r="985" spans="1:1">
      <c r="A985" s="87">
        <v>4933</v>
      </c>
    </row>
    <row r="986" spans="1:1">
      <c r="A986" s="87">
        <v>4934</v>
      </c>
    </row>
    <row r="987" spans="1:1">
      <c r="A987" s="87">
        <v>4935</v>
      </c>
    </row>
    <row r="988" spans="1:1">
      <c r="A988" s="87">
        <v>4938</v>
      </c>
    </row>
    <row r="989" spans="1:1">
      <c r="A989" s="87">
        <v>4939</v>
      </c>
    </row>
    <row r="990" spans="1:1">
      <c r="A990" s="87">
        <v>4942</v>
      </c>
    </row>
    <row r="991" spans="1:1">
      <c r="A991" s="87">
        <v>4944</v>
      </c>
    </row>
    <row r="992" spans="1:1">
      <c r="A992" s="87">
        <v>4946</v>
      </c>
    </row>
    <row r="993" spans="1:1">
      <c r="A993" s="87">
        <v>4947</v>
      </c>
    </row>
    <row r="994" spans="1:1">
      <c r="A994" s="87">
        <v>4950</v>
      </c>
    </row>
    <row r="995" spans="1:1">
      <c r="A995" s="87">
        <v>4952</v>
      </c>
    </row>
    <row r="996" spans="1:1">
      <c r="A996" s="87">
        <v>4953</v>
      </c>
    </row>
    <row r="997" spans="1:1">
      <c r="A997" s="87">
        <v>4956</v>
      </c>
    </row>
    <row r="998" spans="1:1">
      <c r="A998" s="87">
        <v>4958</v>
      </c>
    </row>
    <row r="999" spans="1:1">
      <c r="A999" s="87">
        <v>4960</v>
      </c>
    </row>
    <row r="1000" spans="1:1">
      <c r="A1000" s="87">
        <v>4965</v>
      </c>
    </row>
    <row r="1001" spans="1:1">
      <c r="A1001" s="87">
        <v>4966</v>
      </c>
    </row>
    <row r="1002" spans="1:1">
      <c r="A1002" s="87">
        <v>4971</v>
      </c>
    </row>
    <row r="1003" spans="1:1">
      <c r="A1003" s="87">
        <v>4972</v>
      </c>
    </row>
    <row r="1004" spans="1:1">
      <c r="A1004" s="87">
        <v>4973</v>
      </c>
    </row>
    <row r="1005" spans="1:1">
      <c r="A1005" s="87">
        <v>4974</v>
      </c>
    </row>
    <row r="1006" spans="1:1">
      <c r="A1006" s="87">
        <v>4976</v>
      </c>
    </row>
    <row r="1007" spans="1:1">
      <c r="A1007" s="87">
        <v>4977</v>
      </c>
    </row>
    <row r="1008" spans="1:1">
      <c r="A1008" s="87">
        <v>4979</v>
      </c>
    </row>
    <row r="1009" spans="1:1">
      <c r="A1009" s="87">
        <v>4984</v>
      </c>
    </row>
    <row r="1010" spans="1:1">
      <c r="A1010" s="87">
        <v>4987</v>
      </c>
    </row>
    <row r="1011" spans="1:1">
      <c r="A1011" s="87">
        <v>4991</v>
      </c>
    </row>
    <row r="1012" spans="1:1">
      <c r="A1012" s="87">
        <v>4994</v>
      </c>
    </row>
    <row r="1013" spans="1:1">
      <c r="A1013" s="87">
        <v>4995</v>
      </c>
    </row>
    <row r="1014" spans="1:1">
      <c r="A1014" s="87">
        <v>4999</v>
      </c>
    </row>
    <row r="1015" spans="1:1">
      <c r="A1015" s="87">
        <v>5007</v>
      </c>
    </row>
    <row r="1016" spans="1:1">
      <c r="A1016" s="87">
        <v>5009</v>
      </c>
    </row>
    <row r="1017" spans="1:1">
      <c r="A1017" s="87">
        <v>5011</v>
      </c>
    </row>
    <row r="1018" spans="1:1">
      <c r="A1018" s="87">
        <v>5013</v>
      </c>
    </row>
    <row r="1019" spans="1:1">
      <c r="A1019" s="87">
        <v>5014</v>
      </c>
    </row>
    <row r="1020" spans="1:1">
      <c r="A1020" s="87">
        <v>5015</v>
      </c>
    </row>
    <row r="1021" spans="1:1">
      <c r="A1021" s="87">
        <v>5016</v>
      </c>
    </row>
    <row r="1022" spans="1:1">
      <c r="A1022" s="87">
        <v>5102</v>
      </c>
    </row>
    <row r="1023" spans="1:1">
      <c r="A1023" s="87">
        <v>5201</v>
      </c>
    </row>
    <row r="1024" spans="1:1">
      <c r="A1024" s="87">
        <v>5202</v>
      </c>
    </row>
    <row r="1025" spans="1:1">
      <c r="A1025" s="87">
        <v>5203</v>
      </c>
    </row>
    <row r="1026" spans="1:1">
      <c r="A1026" s="87">
        <v>5205</v>
      </c>
    </row>
    <row r="1027" spans="1:1">
      <c r="A1027" s="87">
        <v>5206</v>
      </c>
    </row>
    <row r="1028" spans="1:1">
      <c r="A1028" s="87">
        <v>5209</v>
      </c>
    </row>
    <row r="1029" spans="1:1">
      <c r="A1029" s="87">
        <v>5210</v>
      </c>
    </row>
    <row r="1030" spans="1:1">
      <c r="A1030" s="87">
        <v>5211</v>
      </c>
    </row>
    <row r="1031" spans="1:1">
      <c r="A1031" s="87">
        <v>5212</v>
      </c>
    </row>
    <row r="1032" spans="1:1">
      <c r="A1032" s="87">
        <v>5213</v>
      </c>
    </row>
    <row r="1033" spans="1:1">
      <c r="A1033" s="87">
        <v>5215</v>
      </c>
    </row>
    <row r="1034" spans="1:1">
      <c r="A1034" s="87">
        <v>5225</v>
      </c>
    </row>
    <row r="1035" spans="1:1">
      <c r="A1035" s="87">
        <v>5227</v>
      </c>
    </row>
    <row r="1036" spans="1:1">
      <c r="A1036" s="87">
        <v>5230</v>
      </c>
    </row>
    <row r="1037" spans="1:1">
      <c r="A1037" s="87">
        <v>5234</v>
      </c>
    </row>
    <row r="1038" spans="1:1">
      <c r="A1038" s="87">
        <v>5243</v>
      </c>
    </row>
    <row r="1039" spans="1:1">
      <c r="A1039" s="87">
        <v>5251</v>
      </c>
    </row>
    <row r="1040" spans="1:1">
      <c r="A1040" s="87">
        <v>5259</v>
      </c>
    </row>
    <row r="1041" spans="1:1">
      <c r="A1041" s="87">
        <v>5263</v>
      </c>
    </row>
    <row r="1042" spans="1:1">
      <c r="A1042" s="87">
        <v>5264</v>
      </c>
    </row>
    <row r="1043" spans="1:1">
      <c r="A1043" s="87">
        <v>5266</v>
      </c>
    </row>
    <row r="1044" spans="1:1">
      <c r="A1044" s="87">
        <v>5269</v>
      </c>
    </row>
    <row r="1045" spans="1:1">
      <c r="A1045" s="87">
        <v>5272</v>
      </c>
    </row>
    <row r="1046" spans="1:1">
      <c r="A1046" s="87">
        <v>5274</v>
      </c>
    </row>
    <row r="1047" spans="1:1">
      <c r="A1047" s="87">
        <v>5276</v>
      </c>
    </row>
    <row r="1048" spans="1:1">
      <c r="A1048" s="87">
        <v>5278</v>
      </c>
    </row>
    <row r="1049" spans="1:1">
      <c r="A1049" s="87">
        <v>5284</v>
      </c>
    </row>
    <row r="1050" spans="1:1">
      <c r="A1050" s="87">
        <v>5285</v>
      </c>
    </row>
    <row r="1051" spans="1:1">
      <c r="A1051" s="87">
        <v>5287</v>
      </c>
    </row>
    <row r="1052" spans="1:1">
      <c r="A1052" s="87">
        <v>5288</v>
      </c>
    </row>
    <row r="1053" spans="1:1">
      <c r="A1053" s="87">
        <v>5289</v>
      </c>
    </row>
    <row r="1054" spans="1:1">
      <c r="A1054" s="87">
        <v>5291</v>
      </c>
    </row>
    <row r="1055" spans="1:1">
      <c r="A1055" s="87">
        <v>5301</v>
      </c>
    </row>
    <row r="1056" spans="1:1">
      <c r="A1056" s="87">
        <v>5302</v>
      </c>
    </row>
    <row r="1057" spans="1:1">
      <c r="A1057" s="87">
        <v>5304</v>
      </c>
    </row>
    <row r="1058" spans="1:1">
      <c r="A1058" s="87">
        <v>5305</v>
      </c>
    </row>
    <row r="1059" spans="1:1">
      <c r="A1059" s="87">
        <v>5306</v>
      </c>
    </row>
    <row r="1060" spans="1:1">
      <c r="A1060" s="87">
        <v>5309</v>
      </c>
    </row>
    <row r="1061" spans="1:1">
      <c r="A1061" s="87">
        <v>5310</v>
      </c>
    </row>
    <row r="1062" spans="1:1">
      <c r="A1062" s="87">
        <v>5312</v>
      </c>
    </row>
    <row r="1063" spans="1:1">
      <c r="A1063" s="87">
        <v>5314</v>
      </c>
    </row>
    <row r="1064" spans="1:1">
      <c r="A1064" s="87">
        <v>5315</v>
      </c>
    </row>
    <row r="1065" spans="1:1">
      <c r="A1065" s="87">
        <v>5317</v>
      </c>
    </row>
    <row r="1066" spans="1:1">
      <c r="A1066" s="87">
        <v>5321</v>
      </c>
    </row>
    <row r="1067" spans="1:1">
      <c r="A1067" s="87">
        <v>5324</v>
      </c>
    </row>
    <row r="1068" spans="1:1">
      <c r="A1068" s="87">
        <v>5328</v>
      </c>
    </row>
    <row r="1069" spans="1:1">
      <c r="A1069" s="87">
        <v>5340</v>
      </c>
    </row>
    <row r="1070" spans="1:1">
      <c r="A1070" s="87">
        <v>5344</v>
      </c>
    </row>
    <row r="1071" spans="1:1">
      <c r="A1071" s="87">
        <v>5345</v>
      </c>
    </row>
    <row r="1072" spans="1:1">
      <c r="A1072" s="87">
        <v>5347</v>
      </c>
    </row>
    <row r="1073" spans="1:1">
      <c r="A1073" s="87">
        <v>5348</v>
      </c>
    </row>
    <row r="1074" spans="1:1">
      <c r="A1074" s="87">
        <v>5349</v>
      </c>
    </row>
    <row r="1075" spans="1:1">
      <c r="A1075" s="87">
        <v>5351</v>
      </c>
    </row>
    <row r="1076" spans="1:1">
      <c r="A1076" s="87">
        <v>5353</v>
      </c>
    </row>
    <row r="1077" spans="1:1">
      <c r="A1077" s="87">
        <v>5355</v>
      </c>
    </row>
    <row r="1078" spans="1:1">
      <c r="A1078" s="87">
        <v>5356</v>
      </c>
    </row>
    <row r="1079" spans="1:1">
      <c r="A1079" s="87">
        <v>5364</v>
      </c>
    </row>
    <row r="1080" spans="1:1">
      <c r="A1080" s="87">
        <v>5371</v>
      </c>
    </row>
    <row r="1081" spans="1:1">
      <c r="A1081" s="87">
        <v>5381</v>
      </c>
    </row>
    <row r="1082" spans="1:1">
      <c r="A1082" s="87">
        <v>5383</v>
      </c>
    </row>
    <row r="1083" spans="1:1">
      <c r="A1083" s="87">
        <v>5384</v>
      </c>
    </row>
    <row r="1084" spans="1:1">
      <c r="A1084" s="87">
        <v>5386</v>
      </c>
    </row>
    <row r="1085" spans="1:1">
      <c r="A1085" s="87">
        <v>5388</v>
      </c>
    </row>
    <row r="1086" spans="1:1">
      <c r="A1086" s="87">
        <v>5392</v>
      </c>
    </row>
    <row r="1087" spans="1:1">
      <c r="A1087" s="87">
        <v>5395</v>
      </c>
    </row>
    <row r="1088" spans="1:1">
      <c r="A1088" s="87">
        <v>5398</v>
      </c>
    </row>
    <row r="1089" spans="1:1">
      <c r="A1089" s="87">
        <v>5403</v>
      </c>
    </row>
    <row r="1090" spans="1:1">
      <c r="A1090" s="87">
        <v>5410</v>
      </c>
    </row>
    <row r="1091" spans="1:1">
      <c r="A1091" s="87">
        <v>5425</v>
      </c>
    </row>
    <row r="1092" spans="1:1">
      <c r="A1092" s="87">
        <v>5426</v>
      </c>
    </row>
    <row r="1093" spans="1:1">
      <c r="A1093" s="87">
        <v>5432</v>
      </c>
    </row>
    <row r="1094" spans="1:1">
      <c r="A1094" s="87">
        <v>5434</v>
      </c>
    </row>
    <row r="1095" spans="1:1">
      <c r="A1095" s="87">
        <v>5438</v>
      </c>
    </row>
    <row r="1096" spans="1:1">
      <c r="A1096" s="87">
        <v>5439</v>
      </c>
    </row>
    <row r="1097" spans="1:1">
      <c r="A1097" s="87">
        <v>5443</v>
      </c>
    </row>
    <row r="1098" spans="1:1">
      <c r="A1098" s="87">
        <v>5450</v>
      </c>
    </row>
    <row r="1099" spans="1:1">
      <c r="A1099" s="87">
        <v>5452</v>
      </c>
    </row>
    <row r="1100" spans="1:1">
      <c r="A1100" s="87">
        <v>5455</v>
      </c>
    </row>
    <row r="1101" spans="1:1">
      <c r="A1101" s="87">
        <v>5457</v>
      </c>
    </row>
    <row r="1102" spans="1:1">
      <c r="A1102" s="87">
        <v>5460</v>
      </c>
    </row>
    <row r="1103" spans="1:1">
      <c r="A1103" s="87">
        <v>5464</v>
      </c>
    </row>
    <row r="1104" spans="1:1">
      <c r="A1104" s="87">
        <v>5465</v>
      </c>
    </row>
    <row r="1105" spans="1:1">
      <c r="A1105" s="87">
        <v>5466</v>
      </c>
    </row>
    <row r="1106" spans="1:1">
      <c r="A1106" s="87">
        <v>5468</v>
      </c>
    </row>
    <row r="1107" spans="1:1">
      <c r="A1107" s="87">
        <v>5469</v>
      </c>
    </row>
    <row r="1108" spans="1:1">
      <c r="A1108" s="87">
        <v>5471</v>
      </c>
    </row>
    <row r="1109" spans="1:1">
      <c r="A1109" s="87">
        <v>5474</v>
      </c>
    </row>
    <row r="1110" spans="1:1">
      <c r="A1110" s="87">
        <v>5475</v>
      </c>
    </row>
    <row r="1111" spans="1:1">
      <c r="A1111" s="87">
        <v>5478</v>
      </c>
    </row>
    <row r="1112" spans="1:1">
      <c r="A1112" s="87">
        <v>5480</v>
      </c>
    </row>
    <row r="1113" spans="1:1">
      <c r="A1113" s="87">
        <v>5481</v>
      </c>
    </row>
    <row r="1114" spans="1:1">
      <c r="A1114" s="87">
        <v>5483</v>
      </c>
    </row>
    <row r="1115" spans="1:1">
      <c r="A1115" s="87">
        <v>5484</v>
      </c>
    </row>
    <row r="1116" spans="1:1">
      <c r="A1116" s="87">
        <v>5487</v>
      </c>
    </row>
    <row r="1117" spans="1:1">
      <c r="A1117" s="87">
        <v>5488</v>
      </c>
    </row>
    <row r="1118" spans="1:1">
      <c r="A1118" s="87">
        <v>5489</v>
      </c>
    </row>
    <row r="1119" spans="1:1">
      <c r="A1119" s="87">
        <v>5490</v>
      </c>
    </row>
    <row r="1120" spans="1:1">
      <c r="A1120" s="87">
        <v>5491</v>
      </c>
    </row>
    <row r="1121" spans="1:1">
      <c r="A1121" s="87">
        <v>5493</v>
      </c>
    </row>
    <row r="1122" spans="1:1">
      <c r="A1122" s="87">
        <v>5498</v>
      </c>
    </row>
    <row r="1123" spans="1:1">
      <c r="A1123" s="87">
        <v>5505</v>
      </c>
    </row>
    <row r="1124" spans="1:1">
      <c r="A1124" s="87">
        <v>5508</v>
      </c>
    </row>
    <row r="1125" spans="1:1">
      <c r="A1125" s="87">
        <v>5511</v>
      </c>
    </row>
    <row r="1126" spans="1:1">
      <c r="A1126" s="87">
        <v>5512</v>
      </c>
    </row>
    <row r="1127" spans="1:1">
      <c r="A1127" s="87">
        <v>5514</v>
      </c>
    </row>
    <row r="1128" spans="1:1">
      <c r="A1128" s="87">
        <v>5515</v>
      </c>
    </row>
    <row r="1129" spans="1:1">
      <c r="A1129" s="87">
        <v>5516</v>
      </c>
    </row>
    <row r="1130" spans="1:1">
      <c r="A1130" s="87">
        <v>5519</v>
      </c>
    </row>
    <row r="1131" spans="1:1">
      <c r="A1131" s="87">
        <v>5520</v>
      </c>
    </row>
    <row r="1132" spans="1:1">
      <c r="A1132" s="87">
        <v>5521</v>
      </c>
    </row>
    <row r="1133" spans="1:1">
      <c r="A1133" s="87">
        <v>5522</v>
      </c>
    </row>
    <row r="1134" spans="1:1">
      <c r="A1134" s="87">
        <v>5523</v>
      </c>
    </row>
    <row r="1135" spans="1:1">
      <c r="A1135" s="87">
        <v>5525</v>
      </c>
    </row>
    <row r="1136" spans="1:1">
      <c r="A1136" s="87">
        <v>5529</v>
      </c>
    </row>
    <row r="1137" spans="1:1">
      <c r="A1137" s="87">
        <v>5530</v>
      </c>
    </row>
    <row r="1138" spans="1:1">
      <c r="A1138" s="87">
        <v>5531</v>
      </c>
    </row>
    <row r="1139" spans="1:1">
      <c r="A1139" s="87">
        <v>5533</v>
      </c>
    </row>
    <row r="1140" spans="1:1">
      <c r="A1140" s="87">
        <v>5534</v>
      </c>
    </row>
    <row r="1141" spans="1:1">
      <c r="A1141" s="87">
        <v>5536</v>
      </c>
    </row>
    <row r="1142" spans="1:1">
      <c r="A1142" s="87">
        <v>5538</v>
      </c>
    </row>
    <row r="1143" spans="1:1">
      <c r="A1143" s="87">
        <v>5601</v>
      </c>
    </row>
    <row r="1144" spans="1:1">
      <c r="A1144" s="87">
        <v>5603</v>
      </c>
    </row>
    <row r="1145" spans="1:1">
      <c r="A1145" s="87">
        <v>5604</v>
      </c>
    </row>
    <row r="1146" spans="1:1">
      <c r="A1146" s="87">
        <v>5607</v>
      </c>
    </row>
    <row r="1147" spans="1:1">
      <c r="A1147" s="87">
        <v>5608</v>
      </c>
    </row>
    <row r="1148" spans="1:1">
      <c r="A1148" s="87">
        <v>5609</v>
      </c>
    </row>
    <row r="1149" spans="1:1">
      <c r="A1149" s="87">
        <v>5701</v>
      </c>
    </row>
    <row r="1150" spans="1:1">
      <c r="A1150" s="87">
        <v>5703</v>
      </c>
    </row>
    <row r="1151" spans="1:1">
      <c r="A1151" s="87">
        <v>5704</v>
      </c>
    </row>
    <row r="1152" spans="1:1">
      <c r="A1152" s="87">
        <v>5706</v>
      </c>
    </row>
    <row r="1153" spans="1:1">
      <c r="A1153" s="87">
        <v>5820</v>
      </c>
    </row>
    <row r="1154" spans="1:1">
      <c r="A1154" s="87">
        <v>5871</v>
      </c>
    </row>
    <row r="1155" spans="1:1">
      <c r="A1155" s="87">
        <v>5878</v>
      </c>
    </row>
    <row r="1156" spans="1:1">
      <c r="A1156" s="87">
        <v>5880</v>
      </c>
    </row>
    <row r="1157" spans="1:1">
      <c r="A1157" s="87">
        <v>5902</v>
      </c>
    </row>
    <row r="1158" spans="1:1">
      <c r="A1158" s="87">
        <v>5903</v>
      </c>
    </row>
    <row r="1159" spans="1:1">
      <c r="A1159" s="87">
        <v>5904</v>
      </c>
    </row>
    <row r="1160" spans="1:1">
      <c r="A1160" s="87">
        <v>5905</v>
      </c>
    </row>
    <row r="1161" spans="1:1">
      <c r="A1161" s="87">
        <v>5906</v>
      </c>
    </row>
    <row r="1162" spans="1:1">
      <c r="A1162" s="87">
        <v>5907</v>
      </c>
    </row>
    <row r="1163" spans="1:1">
      <c r="A1163" s="87">
        <v>6005</v>
      </c>
    </row>
    <row r="1164" spans="1:1">
      <c r="A1164" s="87">
        <v>6015</v>
      </c>
    </row>
    <row r="1165" spans="1:1">
      <c r="A1165" s="87">
        <v>6016</v>
      </c>
    </row>
    <row r="1166" spans="1:1">
      <c r="A1166" s="87">
        <v>6020</v>
      </c>
    </row>
    <row r="1167" spans="1:1">
      <c r="A1167" s="87">
        <v>6021</v>
      </c>
    </row>
    <row r="1168" spans="1:1">
      <c r="A1168" s="87">
        <v>6022</v>
      </c>
    </row>
    <row r="1169" spans="1:1">
      <c r="A1169" s="87">
        <v>6023</v>
      </c>
    </row>
    <row r="1170" spans="1:1">
      <c r="A1170" s="87">
        <v>6024</v>
      </c>
    </row>
    <row r="1171" spans="1:1">
      <c r="A1171" s="87">
        <v>6101</v>
      </c>
    </row>
    <row r="1172" spans="1:1">
      <c r="A1172" s="87">
        <v>6103</v>
      </c>
    </row>
    <row r="1173" spans="1:1">
      <c r="A1173" s="87">
        <v>6104</v>
      </c>
    </row>
    <row r="1174" spans="1:1">
      <c r="A1174" s="87">
        <v>6105</v>
      </c>
    </row>
    <row r="1175" spans="1:1">
      <c r="A1175" s="87">
        <v>6107</v>
      </c>
    </row>
    <row r="1176" spans="1:1">
      <c r="A1176" s="87">
        <v>6108</v>
      </c>
    </row>
    <row r="1177" spans="1:1">
      <c r="A1177" s="87">
        <v>6109</v>
      </c>
    </row>
    <row r="1178" spans="1:1">
      <c r="A1178" s="87">
        <v>6111</v>
      </c>
    </row>
    <row r="1179" spans="1:1">
      <c r="A1179" s="87">
        <v>6112</v>
      </c>
    </row>
    <row r="1180" spans="1:1">
      <c r="A1180" s="87">
        <v>6113</v>
      </c>
    </row>
    <row r="1181" spans="1:1">
      <c r="A1181" s="87">
        <v>6114</v>
      </c>
    </row>
    <row r="1182" spans="1:1">
      <c r="A1182" s="87">
        <v>6115</v>
      </c>
    </row>
    <row r="1183" spans="1:1">
      <c r="A1183" s="87">
        <v>6116</v>
      </c>
    </row>
    <row r="1184" spans="1:1">
      <c r="A1184" s="87">
        <v>6117</v>
      </c>
    </row>
    <row r="1185" spans="1:1">
      <c r="A1185" s="87">
        <v>6118</v>
      </c>
    </row>
    <row r="1186" spans="1:1">
      <c r="A1186" s="87">
        <v>6120</v>
      </c>
    </row>
    <row r="1187" spans="1:1">
      <c r="A1187" s="87">
        <v>6121</v>
      </c>
    </row>
    <row r="1188" spans="1:1">
      <c r="A1188" s="87">
        <v>6122</v>
      </c>
    </row>
    <row r="1189" spans="1:1">
      <c r="A1189" s="87">
        <v>6123</v>
      </c>
    </row>
    <row r="1190" spans="1:1">
      <c r="A1190" s="87">
        <v>6124</v>
      </c>
    </row>
    <row r="1191" spans="1:1">
      <c r="A1191" s="87">
        <v>6125</v>
      </c>
    </row>
    <row r="1192" spans="1:1">
      <c r="A1192" s="87">
        <v>6126</v>
      </c>
    </row>
    <row r="1193" spans="1:1">
      <c r="A1193" s="87">
        <v>6127</v>
      </c>
    </row>
    <row r="1194" spans="1:1">
      <c r="A1194" s="87">
        <v>6128</v>
      </c>
    </row>
    <row r="1195" spans="1:1">
      <c r="A1195" s="87">
        <v>6129</v>
      </c>
    </row>
    <row r="1196" spans="1:1">
      <c r="A1196" s="87">
        <v>6130</v>
      </c>
    </row>
    <row r="1197" spans="1:1">
      <c r="A1197" s="87">
        <v>6131</v>
      </c>
    </row>
    <row r="1198" spans="1:1">
      <c r="A1198" s="87">
        <v>6133</v>
      </c>
    </row>
    <row r="1199" spans="1:1">
      <c r="A1199" s="87">
        <v>6134</v>
      </c>
    </row>
    <row r="1200" spans="1:1">
      <c r="A1200" s="87">
        <v>6135</v>
      </c>
    </row>
    <row r="1201" spans="1:1">
      <c r="A1201" s="87">
        <v>6136</v>
      </c>
    </row>
    <row r="1202" spans="1:1">
      <c r="A1202" s="87">
        <v>6138</v>
      </c>
    </row>
    <row r="1203" spans="1:1">
      <c r="A1203" s="87">
        <v>6139</v>
      </c>
    </row>
    <row r="1204" spans="1:1">
      <c r="A1204" s="87">
        <v>6140</v>
      </c>
    </row>
    <row r="1205" spans="1:1">
      <c r="A1205" s="87">
        <v>6141</v>
      </c>
    </row>
    <row r="1206" spans="1:1">
      <c r="A1206" s="87">
        <v>6142</v>
      </c>
    </row>
    <row r="1207" spans="1:1">
      <c r="A1207" s="87">
        <v>6143</v>
      </c>
    </row>
    <row r="1208" spans="1:1">
      <c r="A1208" s="87">
        <v>6144</v>
      </c>
    </row>
    <row r="1209" spans="1:1">
      <c r="A1209" s="87">
        <v>6145</v>
      </c>
    </row>
    <row r="1210" spans="1:1">
      <c r="A1210" s="87">
        <v>6146</v>
      </c>
    </row>
    <row r="1211" spans="1:1">
      <c r="A1211" s="87">
        <v>6147</v>
      </c>
    </row>
    <row r="1212" spans="1:1">
      <c r="A1212" s="87">
        <v>6148</v>
      </c>
    </row>
    <row r="1213" spans="1:1">
      <c r="A1213" s="87">
        <v>6150</v>
      </c>
    </row>
    <row r="1214" spans="1:1">
      <c r="A1214" s="87">
        <v>6151</v>
      </c>
    </row>
    <row r="1215" spans="1:1">
      <c r="A1215" s="87">
        <v>6152</v>
      </c>
    </row>
    <row r="1216" spans="1:1">
      <c r="A1216" s="87">
        <v>6153</v>
      </c>
    </row>
    <row r="1217" spans="1:1">
      <c r="A1217" s="87">
        <v>6154</v>
      </c>
    </row>
    <row r="1218" spans="1:1">
      <c r="A1218" s="87">
        <v>6155</v>
      </c>
    </row>
    <row r="1219" spans="1:1">
      <c r="A1219" s="87">
        <v>6156</v>
      </c>
    </row>
    <row r="1220" spans="1:1">
      <c r="A1220" s="87">
        <v>6158</v>
      </c>
    </row>
    <row r="1221" spans="1:1">
      <c r="A1221" s="87">
        <v>6160</v>
      </c>
    </row>
    <row r="1222" spans="1:1">
      <c r="A1222" s="87">
        <v>6161</v>
      </c>
    </row>
    <row r="1223" spans="1:1">
      <c r="A1223" s="87">
        <v>6163</v>
      </c>
    </row>
    <row r="1224" spans="1:1">
      <c r="A1224" s="87">
        <v>6164</v>
      </c>
    </row>
    <row r="1225" spans="1:1">
      <c r="A1225" s="87">
        <v>6165</v>
      </c>
    </row>
    <row r="1226" spans="1:1">
      <c r="A1226" s="87">
        <v>6166</v>
      </c>
    </row>
    <row r="1227" spans="1:1">
      <c r="A1227" s="87">
        <v>6167</v>
      </c>
    </row>
    <row r="1228" spans="1:1">
      <c r="A1228" s="87">
        <v>6168</v>
      </c>
    </row>
    <row r="1229" spans="1:1">
      <c r="A1229" s="87">
        <v>6169</v>
      </c>
    </row>
    <row r="1230" spans="1:1">
      <c r="A1230" s="87">
        <v>6170</v>
      </c>
    </row>
    <row r="1231" spans="1:1">
      <c r="A1231" s="87">
        <v>6171</v>
      </c>
    </row>
    <row r="1232" spans="1:1">
      <c r="A1232" s="87">
        <v>6172</v>
      </c>
    </row>
    <row r="1233" spans="1:1">
      <c r="A1233" s="87">
        <v>6173</v>
      </c>
    </row>
    <row r="1234" spans="1:1">
      <c r="A1234" s="87">
        <v>6174</v>
      </c>
    </row>
    <row r="1235" spans="1:1">
      <c r="A1235" s="87">
        <v>6175</v>
      </c>
    </row>
    <row r="1236" spans="1:1">
      <c r="A1236" s="87">
        <v>6176</v>
      </c>
    </row>
    <row r="1237" spans="1:1">
      <c r="A1237" s="87">
        <v>6177</v>
      </c>
    </row>
    <row r="1238" spans="1:1">
      <c r="A1238" s="87">
        <v>6179</v>
      </c>
    </row>
    <row r="1239" spans="1:1">
      <c r="A1239" s="87">
        <v>6180</v>
      </c>
    </row>
    <row r="1240" spans="1:1">
      <c r="A1240" s="87">
        <v>6182</v>
      </c>
    </row>
    <row r="1241" spans="1:1">
      <c r="A1241" s="87">
        <v>6183</v>
      </c>
    </row>
    <row r="1242" spans="1:1">
      <c r="A1242" s="87">
        <v>6184</v>
      </c>
    </row>
    <row r="1243" spans="1:1">
      <c r="A1243" s="87">
        <v>6185</v>
      </c>
    </row>
    <row r="1244" spans="1:1">
      <c r="A1244" s="87">
        <v>6186</v>
      </c>
    </row>
    <row r="1245" spans="1:1">
      <c r="A1245" s="87">
        <v>6187</v>
      </c>
    </row>
    <row r="1246" spans="1:1">
      <c r="A1246" s="87">
        <v>6188</v>
      </c>
    </row>
    <row r="1247" spans="1:1">
      <c r="A1247" s="87">
        <v>6189</v>
      </c>
    </row>
    <row r="1248" spans="1:1">
      <c r="A1248" s="87">
        <v>6190</v>
      </c>
    </row>
    <row r="1249" spans="1:1">
      <c r="A1249" s="87">
        <v>6191</v>
      </c>
    </row>
    <row r="1250" spans="1:1">
      <c r="A1250" s="87">
        <v>6192</v>
      </c>
    </row>
    <row r="1251" spans="1:1">
      <c r="A1251" s="87">
        <v>6194</v>
      </c>
    </row>
    <row r="1252" spans="1:1">
      <c r="A1252" s="87">
        <v>6195</v>
      </c>
    </row>
    <row r="1253" spans="1:1">
      <c r="A1253" s="87">
        <v>6196</v>
      </c>
    </row>
    <row r="1254" spans="1:1">
      <c r="A1254" s="87">
        <v>6197</v>
      </c>
    </row>
    <row r="1255" spans="1:1">
      <c r="A1255" s="87">
        <v>6198</v>
      </c>
    </row>
    <row r="1256" spans="1:1">
      <c r="A1256" s="87">
        <v>6199</v>
      </c>
    </row>
    <row r="1257" spans="1:1">
      <c r="A1257" s="87">
        <v>6201</v>
      </c>
    </row>
    <row r="1258" spans="1:1">
      <c r="A1258" s="87">
        <v>6202</v>
      </c>
    </row>
    <row r="1259" spans="1:1">
      <c r="A1259" s="87">
        <v>6203</v>
      </c>
    </row>
    <row r="1260" spans="1:1">
      <c r="A1260" s="87">
        <v>6204</v>
      </c>
    </row>
    <row r="1261" spans="1:1">
      <c r="A1261" s="87">
        <v>6205</v>
      </c>
    </row>
    <row r="1262" spans="1:1">
      <c r="A1262" s="87">
        <v>6206</v>
      </c>
    </row>
    <row r="1263" spans="1:1">
      <c r="A1263" s="87">
        <v>6207</v>
      </c>
    </row>
    <row r="1264" spans="1:1">
      <c r="A1264" s="87">
        <v>6208</v>
      </c>
    </row>
    <row r="1265" spans="1:1">
      <c r="A1265" s="87">
        <v>6209</v>
      </c>
    </row>
    <row r="1266" spans="1:1">
      <c r="A1266" s="87">
        <v>6210</v>
      </c>
    </row>
    <row r="1267" spans="1:1">
      <c r="A1267" s="87">
        <v>6211</v>
      </c>
    </row>
    <row r="1268" spans="1:1">
      <c r="A1268" s="87">
        <v>6212</v>
      </c>
    </row>
    <row r="1269" spans="1:1">
      <c r="A1269" s="87">
        <v>6213</v>
      </c>
    </row>
    <row r="1270" spans="1:1">
      <c r="A1270" s="87">
        <v>6214</v>
      </c>
    </row>
    <row r="1271" spans="1:1">
      <c r="A1271" s="87">
        <v>6215</v>
      </c>
    </row>
    <row r="1272" spans="1:1">
      <c r="A1272" s="87">
        <v>6216</v>
      </c>
    </row>
    <row r="1273" spans="1:1">
      <c r="A1273" s="87">
        <v>6217</v>
      </c>
    </row>
    <row r="1274" spans="1:1">
      <c r="A1274" s="87">
        <v>6218</v>
      </c>
    </row>
    <row r="1275" spans="1:1">
      <c r="A1275" s="87">
        <v>6219</v>
      </c>
    </row>
    <row r="1276" spans="1:1">
      <c r="A1276" s="87">
        <v>6220</v>
      </c>
    </row>
    <row r="1277" spans="1:1">
      <c r="A1277" s="87">
        <v>6221</v>
      </c>
    </row>
    <row r="1278" spans="1:1">
      <c r="A1278" s="87">
        <v>6222</v>
      </c>
    </row>
    <row r="1279" spans="1:1">
      <c r="A1279" s="87">
        <v>6223</v>
      </c>
    </row>
    <row r="1280" spans="1:1">
      <c r="A1280" s="87">
        <v>6224</v>
      </c>
    </row>
    <row r="1281" spans="1:1">
      <c r="A1281" s="87">
        <v>6225</v>
      </c>
    </row>
    <row r="1282" spans="1:1">
      <c r="A1282" s="87">
        <v>6226</v>
      </c>
    </row>
    <row r="1283" spans="1:1">
      <c r="A1283" s="87">
        <v>6227</v>
      </c>
    </row>
    <row r="1284" spans="1:1">
      <c r="A1284" s="87">
        <v>6228</v>
      </c>
    </row>
    <row r="1285" spans="1:1">
      <c r="A1285" s="87">
        <v>6229</v>
      </c>
    </row>
    <row r="1286" spans="1:1">
      <c r="A1286" s="87">
        <v>6230</v>
      </c>
    </row>
    <row r="1287" spans="1:1">
      <c r="A1287" s="87">
        <v>6231</v>
      </c>
    </row>
    <row r="1288" spans="1:1">
      <c r="A1288" s="87">
        <v>6233</v>
      </c>
    </row>
    <row r="1289" spans="1:1">
      <c r="A1289" s="87">
        <v>6234</v>
      </c>
    </row>
    <row r="1290" spans="1:1">
      <c r="A1290" s="87">
        <v>6235</v>
      </c>
    </row>
    <row r="1291" spans="1:1">
      <c r="A1291" s="87">
        <v>6236</v>
      </c>
    </row>
    <row r="1292" spans="1:1">
      <c r="A1292" s="87">
        <v>6237</v>
      </c>
    </row>
    <row r="1293" spans="1:1">
      <c r="A1293" s="87">
        <v>6238</v>
      </c>
    </row>
    <row r="1294" spans="1:1">
      <c r="A1294" s="87">
        <v>6239</v>
      </c>
    </row>
    <row r="1295" spans="1:1">
      <c r="A1295" s="87">
        <v>6240</v>
      </c>
    </row>
    <row r="1296" spans="1:1">
      <c r="A1296" s="87">
        <v>6241</v>
      </c>
    </row>
    <row r="1297" spans="1:1">
      <c r="A1297" s="87">
        <v>6243</v>
      </c>
    </row>
    <row r="1298" spans="1:1">
      <c r="A1298" s="87">
        <v>6244</v>
      </c>
    </row>
    <row r="1299" spans="1:1">
      <c r="A1299" s="87">
        <v>6245</v>
      </c>
    </row>
    <row r="1300" spans="1:1">
      <c r="A1300" s="87">
        <v>6246</v>
      </c>
    </row>
    <row r="1301" spans="1:1">
      <c r="A1301" s="87">
        <v>6247</v>
      </c>
    </row>
    <row r="1302" spans="1:1">
      <c r="A1302" s="87">
        <v>6248</v>
      </c>
    </row>
    <row r="1303" spans="1:1">
      <c r="A1303" s="87">
        <v>6250</v>
      </c>
    </row>
    <row r="1304" spans="1:1">
      <c r="A1304" s="87">
        <v>6251</v>
      </c>
    </row>
    <row r="1305" spans="1:1">
      <c r="A1305" s="87">
        <v>6257</v>
      </c>
    </row>
    <row r="1306" spans="1:1">
      <c r="A1306" s="87">
        <v>6259</v>
      </c>
    </row>
    <row r="1307" spans="1:1">
      <c r="A1307" s="87">
        <v>6261</v>
      </c>
    </row>
    <row r="1308" spans="1:1">
      <c r="A1308" s="87">
        <v>6263</v>
      </c>
    </row>
    <row r="1309" spans="1:1">
      <c r="A1309" s="87">
        <v>6264</v>
      </c>
    </row>
    <row r="1310" spans="1:1">
      <c r="A1310" s="87">
        <v>6265</v>
      </c>
    </row>
    <row r="1311" spans="1:1">
      <c r="A1311" s="87">
        <v>6266</v>
      </c>
    </row>
    <row r="1312" spans="1:1">
      <c r="A1312" s="87">
        <v>6269</v>
      </c>
    </row>
    <row r="1313" spans="1:1">
      <c r="A1313" s="87">
        <v>6270</v>
      </c>
    </row>
    <row r="1314" spans="1:1">
      <c r="A1314" s="87">
        <v>6271</v>
      </c>
    </row>
    <row r="1315" spans="1:1">
      <c r="A1315" s="87">
        <v>6274</v>
      </c>
    </row>
    <row r="1316" spans="1:1">
      <c r="A1316" s="87">
        <v>6275</v>
      </c>
    </row>
    <row r="1317" spans="1:1">
      <c r="A1317" s="87">
        <v>6276</v>
      </c>
    </row>
    <row r="1318" spans="1:1">
      <c r="A1318" s="87">
        <v>6277</v>
      </c>
    </row>
    <row r="1319" spans="1:1">
      <c r="A1319" s="87">
        <v>6278</v>
      </c>
    </row>
    <row r="1320" spans="1:1">
      <c r="A1320" s="87">
        <v>6279</v>
      </c>
    </row>
    <row r="1321" spans="1:1">
      <c r="A1321" s="87">
        <v>6281</v>
      </c>
    </row>
    <row r="1322" spans="1:1">
      <c r="A1322" s="87">
        <v>6282</v>
      </c>
    </row>
    <row r="1323" spans="1:1">
      <c r="A1323" s="87">
        <v>6283</v>
      </c>
    </row>
    <row r="1324" spans="1:1">
      <c r="A1324" s="87">
        <v>6284</v>
      </c>
    </row>
    <row r="1325" spans="1:1">
      <c r="A1325" s="87">
        <v>6285</v>
      </c>
    </row>
    <row r="1326" spans="1:1">
      <c r="A1326" s="87">
        <v>6286</v>
      </c>
    </row>
    <row r="1327" spans="1:1">
      <c r="A1327" s="87">
        <v>6287</v>
      </c>
    </row>
    <row r="1328" spans="1:1">
      <c r="A1328" s="87">
        <v>6289</v>
      </c>
    </row>
    <row r="1329" spans="1:1">
      <c r="A1329" s="87">
        <v>6290</v>
      </c>
    </row>
    <row r="1330" spans="1:1">
      <c r="A1330" s="87">
        <v>6291</v>
      </c>
    </row>
    <row r="1331" spans="1:1">
      <c r="A1331" s="87">
        <v>6292</v>
      </c>
    </row>
    <row r="1332" spans="1:1">
      <c r="A1332" s="87">
        <v>6294</v>
      </c>
    </row>
    <row r="1333" spans="1:1">
      <c r="A1333" s="87">
        <v>6298</v>
      </c>
    </row>
    <row r="1334" spans="1:1">
      <c r="A1334" s="87">
        <v>6404</v>
      </c>
    </row>
    <row r="1335" spans="1:1">
      <c r="A1335" s="87">
        <v>6405</v>
      </c>
    </row>
    <row r="1336" spans="1:1">
      <c r="A1336" s="87">
        <v>6409</v>
      </c>
    </row>
    <row r="1337" spans="1:1">
      <c r="A1337" s="87">
        <v>6411</v>
      </c>
    </row>
    <row r="1338" spans="1:1">
      <c r="A1338" s="87">
        <v>6412</v>
      </c>
    </row>
    <row r="1339" spans="1:1">
      <c r="A1339" s="87">
        <v>6414</v>
      </c>
    </row>
    <row r="1340" spans="1:1">
      <c r="A1340" s="87">
        <v>6415</v>
      </c>
    </row>
    <row r="1341" spans="1:1">
      <c r="A1341" s="87">
        <v>6419</v>
      </c>
    </row>
    <row r="1342" spans="1:1">
      <c r="A1342" s="87">
        <v>6422</v>
      </c>
    </row>
    <row r="1343" spans="1:1">
      <c r="A1343" s="87">
        <v>6426</v>
      </c>
    </row>
    <row r="1344" spans="1:1">
      <c r="A1344" s="87">
        <v>6431</v>
      </c>
    </row>
    <row r="1345" spans="1:1">
      <c r="A1345" s="87">
        <v>6449</v>
      </c>
    </row>
    <row r="1346" spans="1:1">
      <c r="A1346" s="87">
        <v>6451</v>
      </c>
    </row>
    <row r="1347" spans="1:1">
      <c r="A1347" s="87">
        <v>6452</v>
      </c>
    </row>
    <row r="1348" spans="1:1">
      <c r="A1348" s="87">
        <v>6504</v>
      </c>
    </row>
    <row r="1349" spans="1:1">
      <c r="A1349" s="87">
        <v>6505</v>
      </c>
    </row>
    <row r="1350" spans="1:1">
      <c r="A1350" s="87">
        <v>6506</v>
      </c>
    </row>
    <row r="1351" spans="1:1">
      <c r="A1351" s="87">
        <v>6508</v>
      </c>
    </row>
    <row r="1352" spans="1:1">
      <c r="A1352" s="87">
        <v>6509</v>
      </c>
    </row>
    <row r="1353" spans="1:1">
      <c r="A1353" s="87">
        <v>6603</v>
      </c>
    </row>
    <row r="1354" spans="1:1">
      <c r="A1354" s="87">
        <v>6605</v>
      </c>
    </row>
    <row r="1355" spans="1:1">
      <c r="A1355" s="87">
        <v>6609</v>
      </c>
    </row>
    <row r="1356" spans="1:1">
      <c r="A1356" s="87">
        <v>6702</v>
      </c>
    </row>
    <row r="1357" spans="1:1">
      <c r="A1357" s="87">
        <v>6803</v>
      </c>
    </row>
    <row r="1358" spans="1:1">
      <c r="A1358" s="87">
        <v>8011</v>
      </c>
    </row>
    <row r="1359" spans="1:1">
      <c r="A1359" s="87">
        <v>8016</v>
      </c>
    </row>
    <row r="1360" spans="1:1">
      <c r="A1360" s="87">
        <v>8021</v>
      </c>
    </row>
    <row r="1361" spans="1:1">
      <c r="A1361" s="87">
        <v>8024</v>
      </c>
    </row>
    <row r="1362" spans="1:1">
      <c r="A1362" s="87">
        <v>8032</v>
      </c>
    </row>
    <row r="1363" spans="1:1">
      <c r="A1363" s="87">
        <v>8033</v>
      </c>
    </row>
    <row r="1364" spans="1:1">
      <c r="A1364" s="87">
        <v>8034</v>
      </c>
    </row>
    <row r="1365" spans="1:1">
      <c r="A1365" s="87">
        <v>8038</v>
      </c>
    </row>
    <row r="1366" spans="1:1">
      <c r="A1366" s="87">
        <v>8039</v>
      </c>
    </row>
    <row r="1367" spans="1:1">
      <c r="A1367" s="87">
        <v>8040</v>
      </c>
    </row>
    <row r="1368" spans="1:1">
      <c r="A1368" s="87">
        <v>8042</v>
      </c>
    </row>
    <row r="1369" spans="1:1">
      <c r="A1369" s="87">
        <v>8043</v>
      </c>
    </row>
    <row r="1370" spans="1:1">
      <c r="A1370" s="87">
        <v>8044</v>
      </c>
    </row>
    <row r="1371" spans="1:1">
      <c r="A1371" s="87">
        <v>8046</v>
      </c>
    </row>
    <row r="1372" spans="1:1">
      <c r="A1372" s="87">
        <v>8047</v>
      </c>
    </row>
    <row r="1373" spans="1:1">
      <c r="A1373" s="87">
        <v>8048</v>
      </c>
    </row>
    <row r="1374" spans="1:1">
      <c r="A1374" s="87">
        <v>8049</v>
      </c>
    </row>
    <row r="1375" spans="1:1">
      <c r="A1375" s="87">
        <v>8050</v>
      </c>
    </row>
    <row r="1376" spans="1:1">
      <c r="A1376" s="87">
        <v>8053</v>
      </c>
    </row>
    <row r="1377" spans="1:1">
      <c r="A1377" s="87">
        <v>8054</v>
      </c>
    </row>
    <row r="1378" spans="1:1">
      <c r="A1378" s="87">
        <v>8059</v>
      </c>
    </row>
    <row r="1379" spans="1:1">
      <c r="A1379" s="87">
        <v>8064</v>
      </c>
    </row>
    <row r="1380" spans="1:1">
      <c r="A1380" s="87">
        <v>8066</v>
      </c>
    </row>
    <row r="1381" spans="1:1">
      <c r="A1381" s="87">
        <v>8067</v>
      </c>
    </row>
    <row r="1382" spans="1:1">
      <c r="A1382" s="87">
        <v>8068</v>
      </c>
    </row>
    <row r="1383" spans="1:1">
      <c r="A1383" s="87">
        <v>8069</v>
      </c>
    </row>
    <row r="1384" spans="1:1">
      <c r="A1384" s="87">
        <v>8070</v>
      </c>
    </row>
    <row r="1385" spans="1:1">
      <c r="A1385" s="87">
        <v>8071</v>
      </c>
    </row>
    <row r="1386" spans="1:1">
      <c r="A1386" s="87">
        <v>8072</v>
      </c>
    </row>
    <row r="1387" spans="1:1">
      <c r="A1387" s="87">
        <v>8074</v>
      </c>
    </row>
    <row r="1388" spans="1:1">
      <c r="A1388" s="87">
        <v>8076</v>
      </c>
    </row>
    <row r="1389" spans="1:1">
      <c r="A1389" s="87">
        <v>8077</v>
      </c>
    </row>
    <row r="1390" spans="1:1">
      <c r="A1390" s="87">
        <v>8079</v>
      </c>
    </row>
    <row r="1391" spans="1:1">
      <c r="A1391" s="87">
        <v>8080</v>
      </c>
    </row>
    <row r="1392" spans="1:1">
      <c r="A1392" s="87">
        <v>8081</v>
      </c>
    </row>
    <row r="1393" spans="1:1">
      <c r="A1393" s="87">
        <v>8082</v>
      </c>
    </row>
    <row r="1394" spans="1:1">
      <c r="A1394" s="87">
        <v>8083</v>
      </c>
    </row>
    <row r="1395" spans="1:1">
      <c r="A1395" s="87">
        <v>8084</v>
      </c>
    </row>
    <row r="1396" spans="1:1">
      <c r="A1396" s="87">
        <v>8085</v>
      </c>
    </row>
    <row r="1397" spans="1:1">
      <c r="A1397" s="87">
        <v>8086</v>
      </c>
    </row>
    <row r="1398" spans="1:1">
      <c r="A1398" s="87">
        <v>8087</v>
      </c>
    </row>
    <row r="1399" spans="1:1">
      <c r="A1399" s="87">
        <v>8088</v>
      </c>
    </row>
    <row r="1400" spans="1:1">
      <c r="A1400" s="87">
        <v>8091</v>
      </c>
    </row>
    <row r="1401" spans="1:1">
      <c r="A1401" s="87">
        <v>8092</v>
      </c>
    </row>
    <row r="1402" spans="1:1">
      <c r="A1402" s="87">
        <v>8093</v>
      </c>
    </row>
    <row r="1403" spans="1:1">
      <c r="A1403" s="87">
        <v>8096</v>
      </c>
    </row>
    <row r="1404" spans="1:1">
      <c r="A1404" s="87">
        <v>8097</v>
      </c>
    </row>
    <row r="1405" spans="1:1">
      <c r="A1405" s="87">
        <v>8099</v>
      </c>
    </row>
    <row r="1406" spans="1:1">
      <c r="A1406" s="87">
        <v>8101</v>
      </c>
    </row>
    <row r="1407" spans="1:1">
      <c r="A1407" s="87">
        <v>8103</v>
      </c>
    </row>
    <row r="1408" spans="1:1">
      <c r="A1408" s="87">
        <v>8105</v>
      </c>
    </row>
    <row r="1409" spans="1:1">
      <c r="A1409" s="87">
        <v>8107</v>
      </c>
    </row>
    <row r="1410" spans="1:1">
      <c r="A1410" s="87">
        <v>8109</v>
      </c>
    </row>
    <row r="1411" spans="1:1">
      <c r="A1411" s="87">
        <v>8110</v>
      </c>
    </row>
    <row r="1412" spans="1:1">
      <c r="A1412" s="87">
        <v>8111</v>
      </c>
    </row>
    <row r="1413" spans="1:1">
      <c r="A1413" s="87">
        <v>8112</v>
      </c>
    </row>
    <row r="1414" spans="1:1">
      <c r="A1414" s="87">
        <v>8114</v>
      </c>
    </row>
    <row r="1415" spans="1:1">
      <c r="A1415" s="87">
        <v>8121</v>
      </c>
    </row>
    <row r="1416" spans="1:1">
      <c r="A1416" s="87">
        <v>8131</v>
      </c>
    </row>
    <row r="1417" spans="1:1">
      <c r="A1417" s="87">
        <v>8147</v>
      </c>
    </row>
    <row r="1418" spans="1:1">
      <c r="A1418" s="87">
        <v>8150</v>
      </c>
    </row>
    <row r="1419" spans="1:1">
      <c r="A1419" s="87">
        <v>8155</v>
      </c>
    </row>
    <row r="1420" spans="1:1">
      <c r="A1420" s="87">
        <v>8163</v>
      </c>
    </row>
    <row r="1421" spans="1:1">
      <c r="A1421" s="87">
        <v>8171</v>
      </c>
    </row>
    <row r="1422" spans="1:1">
      <c r="A1422" s="87">
        <v>8176</v>
      </c>
    </row>
    <row r="1423" spans="1:1">
      <c r="A1423" s="87">
        <v>8182</v>
      </c>
    </row>
    <row r="1424" spans="1:1">
      <c r="A1424" s="87">
        <v>8183</v>
      </c>
    </row>
    <row r="1425" spans="1:1">
      <c r="A1425" s="87">
        <v>8201</v>
      </c>
    </row>
    <row r="1426" spans="1:1">
      <c r="A1426" s="87">
        <v>8210</v>
      </c>
    </row>
    <row r="1427" spans="1:1">
      <c r="A1427" s="87">
        <v>8213</v>
      </c>
    </row>
    <row r="1428" spans="1:1">
      <c r="A1428" s="87">
        <v>8215</v>
      </c>
    </row>
    <row r="1429" spans="1:1">
      <c r="A1429" s="87">
        <v>8222</v>
      </c>
    </row>
    <row r="1430" spans="1:1">
      <c r="A1430" s="87">
        <v>8234</v>
      </c>
    </row>
    <row r="1431" spans="1:1">
      <c r="A1431" s="87">
        <v>8240</v>
      </c>
    </row>
    <row r="1432" spans="1:1">
      <c r="A1432" s="87">
        <v>8249</v>
      </c>
    </row>
    <row r="1433" spans="1:1">
      <c r="A1433" s="87">
        <v>8255</v>
      </c>
    </row>
    <row r="1434" spans="1:1">
      <c r="A1434" s="87">
        <v>8261</v>
      </c>
    </row>
    <row r="1435" spans="1:1">
      <c r="A1435" s="87">
        <v>8266</v>
      </c>
    </row>
    <row r="1436" spans="1:1">
      <c r="A1436" s="87">
        <v>8271</v>
      </c>
    </row>
    <row r="1437" spans="1:1">
      <c r="A1437" s="87">
        <v>8277</v>
      </c>
    </row>
    <row r="1438" spans="1:1">
      <c r="A1438" s="87">
        <v>8287</v>
      </c>
    </row>
    <row r="1439" spans="1:1">
      <c r="A1439" s="87">
        <v>8289</v>
      </c>
    </row>
    <row r="1440" spans="1:1">
      <c r="A1440" s="87">
        <v>8291</v>
      </c>
    </row>
    <row r="1441" spans="1:1">
      <c r="A1441" s="87">
        <v>8299</v>
      </c>
    </row>
    <row r="1442" spans="1:1">
      <c r="A1442" s="87">
        <v>8341</v>
      </c>
    </row>
    <row r="1443" spans="1:1">
      <c r="A1443" s="87">
        <v>8349</v>
      </c>
    </row>
    <row r="1444" spans="1:1">
      <c r="A1444" s="87">
        <v>8354</v>
      </c>
    </row>
    <row r="1445" spans="1:1">
      <c r="A1445" s="87">
        <v>8358</v>
      </c>
    </row>
    <row r="1446" spans="1:1">
      <c r="A1446" s="87">
        <v>8374</v>
      </c>
    </row>
    <row r="1447" spans="1:1">
      <c r="A1447" s="87">
        <v>8383</v>
      </c>
    </row>
    <row r="1448" spans="1:1">
      <c r="A1448" s="87">
        <v>8390</v>
      </c>
    </row>
    <row r="1449" spans="1:1">
      <c r="A1449" s="87">
        <v>8401</v>
      </c>
    </row>
    <row r="1450" spans="1:1">
      <c r="A1450" s="87">
        <v>8403</v>
      </c>
    </row>
    <row r="1451" spans="1:1">
      <c r="A1451" s="87">
        <v>8404</v>
      </c>
    </row>
    <row r="1452" spans="1:1">
      <c r="A1452" s="87">
        <v>8406</v>
      </c>
    </row>
    <row r="1453" spans="1:1">
      <c r="A1453" s="87">
        <v>8409</v>
      </c>
    </row>
    <row r="1454" spans="1:1">
      <c r="A1454" s="87">
        <v>8410</v>
      </c>
    </row>
    <row r="1455" spans="1:1">
      <c r="A1455" s="87">
        <v>8411</v>
      </c>
    </row>
    <row r="1456" spans="1:1">
      <c r="A1456" s="87">
        <v>8416</v>
      </c>
    </row>
    <row r="1457" spans="1:1">
      <c r="A1457" s="87">
        <v>8418</v>
      </c>
    </row>
    <row r="1458" spans="1:1">
      <c r="A1458" s="87">
        <v>8420</v>
      </c>
    </row>
    <row r="1459" spans="1:1">
      <c r="A1459" s="87">
        <v>8421</v>
      </c>
    </row>
    <row r="1460" spans="1:1">
      <c r="A1460" s="87">
        <v>8422</v>
      </c>
    </row>
    <row r="1461" spans="1:1">
      <c r="A1461" s="87">
        <v>8423</v>
      </c>
    </row>
    <row r="1462" spans="1:1">
      <c r="A1462" s="87">
        <v>8424</v>
      </c>
    </row>
    <row r="1463" spans="1:1">
      <c r="A1463" s="87">
        <v>8426</v>
      </c>
    </row>
    <row r="1464" spans="1:1">
      <c r="A1464" s="87">
        <v>8427</v>
      </c>
    </row>
    <row r="1465" spans="1:1">
      <c r="A1465" s="87">
        <v>8429</v>
      </c>
    </row>
    <row r="1466" spans="1:1">
      <c r="A1466" s="87">
        <v>8431</v>
      </c>
    </row>
    <row r="1467" spans="1:1">
      <c r="A1467" s="87">
        <v>8432</v>
      </c>
    </row>
    <row r="1468" spans="1:1">
      <c r="A1468" s="87">
        <v>8433</v>
      </c>
    </row>
    <row r="1469" spans="1:1">
      <c r="A1469" s="87">
        <v>8435</v>
      </c>
    </row>
    <row r="1470" spans="1:1">
      <c r="A1470" s="87">
        <v>8436</v>
      </c>
    </row>
    <row r="1471" spans="1:1">
      <c r="A1471" s="87">
        <v>8443</v>
      </c>
    </row>
    <row r="1472" spans="1:1">
      <c r="A1472" s="87">
        <v>8446</v>
      </c>
    </row>
    <row r="1473" spans="1:1">
      <c r="A1473" s="87">
        <v>8450</v>
      </c>
    </row>
    <row r="1474" spans="1:1">
      <c r="A1474" s="87">
        <v>8454</v>
      </c>
    </row>
    <row r="1475" spans="1:1">
      <c r="A1475" s="87">
        <v>8905</v>
      </c>
    </row>
    <row r="1476" spans="1:1">
      <c r="A1476" s="87">
        <v>8906</v>
      </c>
    </row>
    <row r="1477" spans="1:1">
      <c r="A1477" s="87">
        <v>8908</v>
      </c>
    </row>
    <row r="1478" spans="1:1">
      <c r="A1478" s="87">
        <v>8913</v>
      </c>
    </row>
    <row r="1479" spans="1:1">
      <c r="A1479" s="87">
        <v>8916</v>
      </c>
    </row>
    <row r="1480" spans="1:1">
      <c r="A1480" s="87">
        <v>8917</v>
      </c>
    </row>
    <row r="1481" spans="1:1">
      <c r="A1481" s="87">
        <v>8921</v>
      </c>
    </row>
    <row r="1482" spans="1:1">
      <c r="A1482" s="87">
        <v>8923</v>
      </c>
    </row>
    <row r="1483" spans="1:1">
      <c r="A1483" s="87">
        <v>8924</v>
      </c>
    </row>
    <row r="1484" spans="1:1">
      <c r="A1484" s="87">
        <v>8925</v>
      </c>
    </row>
    <row r="1485" spans="1:1">
      <c r="A1485" s="87">
        <v>8926</v>
      </c>
    </row>
    <row r="1486" spans="1:1">
      <c r="A1486" s="87">
        <v>8927</v>
      </c>
    </row>
    <row r="1487" spans="1:1">
      <c r="A1487" s="87">
        <v>8928</v>
      </c>
    </row>
    <row r="1488" spans="1:1">
      <c r="A1488" s="87">
        <v>8929</v>
      </c>
    </row>
    <row r="1489" spans="1:1">
      <c r="A1489" s="87">
        <v>8930</v>
      </c>
    </row>
    <row r="1490" spans="1:1">
      <c r="A1490" s="87">
        <v>8931</v>
      </c>
    </row>
    <row r="1491" spans="1:1">
      <c r="A1491" s="87">
        <v>8932</v>
      </c>
    </row>
    <row r="1492" spans="1:1">
      <c r="A1492" s="87">
        <v>8933</v>
      </c>
    </row>
    <row r="1493" spans="1:1">
      <c r="A1493" s="87">
        <v>8934</v>
      </c>
    </row>
    <row r="1494" spans="1:1">
      <c r="A1494" s="87">
        <v>8935</v>
      </c>
    </row>
    <row r="1495" spans="1:1">
      <c r="A1495" s="87">
        <v>8936</v>
      </c>
    </row>
    <row r="1496" spans="1:1">
      <c r="A1496" s="87">
        <v>8937</v>
      </c>
    </row>
    <row r="1497" spans="1:1">
      <c r="A1497" s="87">
        <v>8938</v>
      </c>
    </row>
    <row r="1498" spans="1:1">
      <c r="A1498" s="87">
        <v>8940</v>
      </c>
    </row>
    <row r="1499" spans="1:1">
      <c r="A1499" s="87">
        <v>8941</v>
      </c>
    </row>
    <row r="1500" spans="1:1">
      <c r="A1500" s="87">
        <v>8942</v>
      </c>
    </row>
    <row r="1501" spans="1:1">
      <c r="A1501" s="87">
        <v>8996</v>
      </c>
    </row>
    <row r="1502" spans="1:1">
      <c r="A1502" s="87">
        <v>9802</v>
      </c>
    </row>
    <row r="1503" spans="1:1">
      <c r="A1503" s="87">
        <v>9902</v>
      </c>
    </row>
    <row r="1504" spans="1:1">
      <c r="A1504" s="87">
        <v>9904</v>
      </c>
    </row>
    <row r="1505" spans="1:1">
      <c r="A1505" s="87">
        <v>9905</v>
      </c>
    </row>
    <row r="1506" spans="1:1">
      <c r="A1506" s="87">
        <v>9906</v>
      </c>
    </row>
    <row r="1507" spans="1:1">
      <c r="A1507" s="87">
        <v>9907</v>
      </c>
    </row>
    <row r="1508" spans="1:1">
      <c r="A1508" s="87">
        <v>9908</v>
      </c>
    </row>
    <row r="1509" spans="1:1">
      <c r="A1509" s="87">
        <v>9910</v>
      </c>
    </row>
    <row r="1510" spans="1:1">
      <c r="A1510" s="87">
        <v>9911</v>
      </c>
    </row>
    <row r="1511" spans="1:1">
      <c r="A1511" s="87">
        <v>9912</v>
      </c>
    </row>
    <row r="1512" spans="1:1">
      <c r="A1512" s="87">
        <v>9914</v>
      </c>
    </row>
    <row r="1513" spans="1:1">
      <c r="A1513" s="87">
        <v>9917</v>
      </c>
    </row>
    <row r="1514" spans="1:1">
      <c r="A1514" s="87">
        <v>9918</v>
      </c>
    </row>
    <row r="1515" spans="1:1">
      <c r="A1515" s="87">
        <v>9919</v>
      </c>
    </row>
    <row r="1516" spans="1:1">
      <c r="A1516" s="87">
        <v>9921</v>
      </c>
    </row>
    <row r="1517" spans="1:1">
      <c r="A1517" s="87">
        <v>9924</v>
      </c>
    </row>
    <row r="1518" spans="1:1">
      <c r="A1518" s="87">
        <v>9925</v>
      </c>
    </row>
    <row r="1519" spans="1:1">
      <c r="A1519" s="87">
        <v>9926</v>
      </c>
    </row>
    <row r="1520" spans="1:1">
      <c r="A1520" s="87">
        <v>9927</v>
      </c>
    </row>
    <row r="1521" spans="1:1">
      <c r="A1521" s="87">
        <v>9928</v>
      </c>
    </row>
    <row r="1522" spans="1:1">
      <c r="A1522" s="87">
        <v>9929</v>
      </c>
    </row>
    <row r="1523" spans="1:1">
      <c r="A1523" s="87">
        <v>9930</v>
      </c>
    </row>
    <row r="1524" spans="1:1">
      <c r="A1524" s="87">
        <v>9931</v>
      </c>
    </row>
    <row r="1525" spans="1:1">
      <c r="A1525" s="87">
        <v>9933</v>
      </c>
    </row>
    <row r="1526" spans="1:1">
      <c r="A1526" s="87">
        <v>9934</v>
      </c>
    </row>
    <row r="1527" spans="1:1">
      <c r="A1527" s="87">
        <v>9935</v>
      </c>
    </row>
    <row r="1528" spans="1:1">
      <c r="A1528" s="87">
        <v>9937</v>
      </c>
    </row>
    <row r="1529" spans="1:1">
      <c r="A1529" s="87">
        <v>9938</v>
      </c>
    </row>
    <row r="1530" spans="1:1">
      <c r="A1530" s="87">
        <v>9939</v>
      </c>
    </row>
    <row r="1531" spans="1:1">
      <c r="A1531" s="87">
        <v>9940</v>
      </c>
    </row>
    <row r="1532" spans="1:1">
      <c r="A1532" s="87">
        <v>9941</v>
      </c>
    </row>
    <row r="1533" spans="1:1">
      <c r="A1533" s="87">
        <v>9942</v>
      </c>
    </row>
    <row r="1534" spans="1:1">
      <c r="A1534" s="87">
        <v>9943</v>
      </c>
    </row>
    <row r="1535" spans="1:1">
      <c r="A1535" s="87">
        <v>9944</v>
      </c>
    </row>
    <row r="1536" spans="1:1">
      <c r="A1536" s="87">
        <v>9945</v>
      </c>
    </row>
    <row r="1537" spans="1:1">
      <c r="A1537" s="87">
        <v>9946</v>
      </c>
    </row>
    <row r="1538" spans="1:1">
      <c r="A1538" s="87">
        <v>9949</v>
      </c>
    </row>
    <row r="1539" spans="1:1">
      <c r="A1539" s="87">
        <v>9950</v>
      </c>
    </row>
    <row r="1540" spans="1:1">
      <c r="A1540" s="87">
        <v>9951</v>
      </c>
    </row>
    <row r="1541" spans="1:1">
      <c r="A1541" s="87">
        <v>9955</v>
      </c>
    </row>
    <row r="1542" spans="1:1">
      <c r="A1542" s="87">
        <v>9958</v>
      </c>
    </row>
    <row r="1543" spans="1:1">
      <c r="A1543" s="87">
        <v>9960</v>
      </c>
    </row>
    <row r="1544" spans="1:1">
      <c r="A1544" s="87">
        <v>9962</v>
      </c>
    </row>
  </sheetData>
  <phoneticPr fontId="2" type="noConversion"/>
  <hyperlinks>
    <hyperlink ref="A2" r:id="rId1" display="1729"/>
    <hyperlink ref="A3" r:id="rId2" display="2108"/>
    <hyperlink ref="A4" r:id="rId3" display="2433"/>
    <hyperlink ref="A5" r:id="rId4" display="3152"/>
    <hyperlink ref="A6" r:id="rId5" display="3163"/>
    <hyperlink ref="A7" r:id="rId6" display="3205"/>
    <hyperlink ref="A8" r:id="rId7" display="3206"/>
    <hyperlink ref="B2" r:id="rId8"/>
    <hyperlink ref="B3" r:id="rId9"/>
    <hyperlink ref="B4" r:id="rId10"/>
    <hyperlink ref="B5" r:id="rId11"/>
    <hyperlink ref="B6" r:id="rId12"/>
    <hyperlink ref="B7" r:id="rId13"/>
    <hyperlink ref="B8" r:id="rId14"/>
    <hyperlink ref="B9" r:id="rId15"/>
    <hyperlink ref="B10" r:id="rId16"/>
    <hyperlink ref="B11" r:id="rId17"/>
    <hyperlink ref="B12" r:id="rId18"/>
    <hyperlink ref="B13" r:id="rId19"/>
    <hyperlink ref="B14" r:id="rId20"/>
    <hyperlink ref="B15" r:id="rId21"/>
    <hyperlink ref="B16" r:id="rId22"/>
    <hyperlink ref="B17" r:id="rId23"/>
    <hyperlink ref="B18" r:id="rId24"/>
    <hyperlink ref="B19" r:id="rId25"/>
    <hyperlink ref="B20" r:id="rId26"/>
    <hyperlink ref="B21" r:id="rId27"/>
    <hyperlink ref="B22" r:id="rId28"/>
    <hyperlink ref="B23" r:id="rId29"/>
    <hyperlink ref="B24" r:id="rId30"/>
    <hyperlink ref="B25" r:id="rId31"/>
    <hyperlink ref="B26" r:id="rId32"/>
    <hyperlink ref="B27" r:id="rId33"/>
    <hyperlink ref="B28" r:id="rId34"/>
    <hyperlink ref="B29" r:id="rId35"/>
    <hyperlink ref="B30" r:id="rId36"/>
    <hyperlink ref="B31" r:id="rId37"/>
    <hyperlink ref="B32" r:id="rId38"/>
    <hyperlink ref="B33" r:id="rId39"/>
    <hyperlink ref="B34" r:id="rId40"/>
    <hyperlink ref="B35" r:id="rId41"/>
    <hyperlink ref="B36" r:id="rId42"/>
    <hyperlink ref="B37" r:id="rId43"/>
    <hyperlink ref="B38" r:id="rId44"/>
    <hyperlink ref="B39" r:id="rId45"/>
    <hyperlink ref="B40" r:id="rId46"/>
    <hyperlink ref="B41" r:id="rId47"/>
    <hyperlink ref="B42" r:id="rId48"/>
    <hyperlink ref="C2" r:id="rId49" display="1413"/>
    <hyperlink ref="C3" r:id="rId50" display="2383"/>
    <hyperlink ref="C4" r:id="rId51" display="2485"/>
    <hyperlink ref="C5" r:id="rId52" display="2515"/>
    <hyperlink ref="C6" r:id="rId53" display="4105"/>
    <hyperlink ref="C7" r:id="rId54" display="4119"/>
    <hyperlink ref="C8" r:id="rId55" display="6180"/>
  </hyperlinks>
  <pageMargins left="0.7" right="0.7" top="0.75" bottom="0.75" header="0.3" footer="0.3"/>
  <pageSetup paperSize="9" orientation="portrait" r:id="rId56"/>
  <drawing r:id="rId57"/>
  <legacyDrawing r:id="rId58"/>
  <controls>
    <mc:AlternateContent xmlns:mc="http://schemas.openxmlformats.org/markup-compatibility/2006">
      <mc:Choice Requires="x14">
        <control shapeId="4097" r:id="rId59" name="CommandButton2">
          <controlPr defaultSize="0" autoLine="0" r:id="rId60">
            <anchor moveWithCells="1">
              <from>
                <xdr:col>3</xdr:col>
                <xdr:colOff>38100</xdr:colOff>
                <xdr:row>0</xdr:row>
                <xdr:rowOff>19050</xdr:rowOff>
              </from>
              <to>
                <xdr:col>3</xdr:col>
                <xdr:colOff>828675</xdr:colOff>
                <xdr:row>1</xdr:row>
                <xdr:rowOff>0</xdr:rowOff>
              </to>
            </anchor>
          </controlPr>
        </control>
      </mc:Choice>
      <mc:Fallback>
        <control shapeId="4097" r:id="rId59" name="CommandButton2"/>
      </mc:Fallback>
    </mc:AlternateContent>
    <mc:AlternateContent xmlns:mc="http://schemas.openxmlformats.org/markup-compatibility/2006">
      <mc:Choice Requires="x14">
        <control shapeId="4098" r:id="rId61" name="CommandButton3">
          <controlPr defaultSize="0" autoLine="0" r:id="rId62">
            <anchor moveWithCells="1">
              <from>
                <xdr:col>4</xdr:col>
                <xdr:colOff>38100</xdr:colOff>
                <xdr:row>0</xdr:row>
                <xdr:rowOff>19050</xdr:rowOff>
              </from>
              <to>
                <xdr:col>4</xdr:col>
                <xdr:colOff>828675</xdr:colOff>
                <xdr:row>1</xdr:row>
                <xdr:rowOff>0</xdr:rowOff>
              </to>
            </anchor>
          </controlPr>
        </control>
      </mc:Choice>
      <mc:Fallback>
        <control shapeId="4098" r:id="rId61" name="CommandButton3"/>
      </mc:Fallback>
    </mc:AlternateContent>
    <mc:AlternateContent xmlns:mc="http://schemas.openxmlformats.org/markup-compatibility/2006">
      <mc:Choice Requires="x14">
        <control shapeId="4099" r:id="rId63" name="CommandButton4">
          <controlPr defaultSize="0" autoLine="0" r:id="rId64">
            <anchor moveWithCells="1">
              <from>
                <xdr:col>5</xdr:col>
                <xdr:colOff>38100</xdr:colOff>
                <xdr:row>0</xdr:row>
                <xdr:rowOff>19050</xdr:rowOff>
              </from>
              <to>
                <xdr:col>5</xdr:col>
                <xdr:colOff>828675</xdr:colOff>
                <xdr:row>1</xdr:row>
                <xdr:rowOff>0</xdr:rowOff>
              </to>
            </anchor>
          </controlPr>
        </control>
      </mc:Choice>
      <mc:Fallback>
        <control shapeId="4099" r:id="rId63" name="CommandButton4"/>
      </mc:Fallback>
    </mc:AlternateContent>
    <mc:AlternateContent xmlns:mc="http://schemas.openxmlformats.org/markup-compatibility/2006">
      <mc:Choice Requires="x14">
        <control shapeId="4100" r:id="rId65" name="CommandButton5">
          <controlPr defaultSize="0" autoLine="0" r:id="rId66">
            <anchor moveWithCells="1">
              <from>
                <xdr:col>7</xdr:col>
                <xdr:colOff>47625</xdr:colOff>
                <xdr:row>0</xdr:row>
                <xdr:rowOff>19050</xdr:rowOff>
              </from>
              <to>
                <xdr:col>8</xdr:col>
                <xdr:colOff>9525</xdr:colOff>
                <xdr:row>1</xdr:row>
                <xdr:rowOff>0</xdr:rowOff>
              </to>
            </anchor>
          </controlPr>
        </control>
      </mc:Choice>
      <mc:Fallback>
        <control shapeId="4100" r:id="rId65" name="CommandButton5"/>
      </mc:Fallback>
    </mc:AlternateContent>
    <mc:AlternateContent xmlns:mc="http://schemas.openxmlformats.org/markup-compatibility/2006">
      <mc:Choice Requires="x14">
        <control shapeId="4101" r:id="rId67" name="CommandButton6">
          <controlPr defaultSize="0" autoLine="0" r:id="rId68">
            <anchor moveWithCells="1">
              <from>
                <xdr:col>8</xdr:col>
                <xdr:colOff>47625</xdr:colOff>
                <xdr:row>0</xdr:row>
                <xdr:rowOff>19050</xdr:rowOff>
              </from>
              <to>
                <xdr:col>9</xdr:col>
                <xdr:colOff>9525</xdr:colOff>
                <xdr:row>1</xdr:row>
                <xdr:rowOff>0</xdr:rowOff>
              </to>
            </anchor>
          </controlPr>
        </control>
      </mc:Choice>
      <mc:Fallback>
        <control shapeId="4101" r:id="rId67" name="CommandButton6"/>
      </mc:Fallback>
    </mc:AlternateContent>
    <mc:AlternateContent xmlns:mc="http://schemas.openxmlformats.org/markup-compatibility/2006">
      <mc:Choice Requires="x14">
        <control shapeId="4102" r:id="rId69" name="CommandButton7">
          <controlPr defaultSize="0" autoLine="0" r:id="rId70">
            <anchor moveWithCells="1">
              <from>
                <xdr:col>11</xdr:col>
                <xdr:colOff>38100</xdr:colOff>
                <xdr:row>0</xdr:row>
                <xdr:rowOff>19050</xdr:rowOff>
              </from>
              <to>
                <xdr:col>11</xdr:col>
                <xdr:colOff>828675</xdr:colOff>
                <xdr:row>1</xdr:row>
                <xdr:rowOff>0</xdr:rowOff>
              </to>
            </anchor>
          </controlPr>
        </control>
      </mc:Choice>
      <mc:Fallback>
        <control shapeId="4102" r:id="rId69" name="CommandButton7"/>
      </mc:Fallback>
    </mc:AlternateContent>
    <mc:AlternateContent xmlns:mc="http://schemas.openxmlformats.org/markup-compatibility/2006">
      <mc:Choice Requires="x14">
        <control shapeId="4103" r:id="rId71" name="CommandButton8">
          <controlPr defaultSize="0" autoLine="0" r:id="rId72">
            <anchor moveWithCells="1">
              <from>
                <xdr:col>9</xdr:col>
                <xdr:colOff>57150</xdr:colOff>
                <xdr:row>0</xdr:row>
                <xdr:rowOff>19050</xdr:rowOff>
              </from>
              <to>
                <xdr:col>10</xdr:col>
                <xdr:colOff>19050</xdr:colOff>
                <xdr:row>1</xdr:row>
                <xdr:rowOff>0</xdr:rowOff>
              </to>
            </anchor>
          </controlPr>
        </control>
      </mc:Choice>
      <mc:Fallback>
        <control shapeId="4103" r:id="rId71" name="CommandButton8"/>
      </mc:Fallback>
    </mc:AlternateContent>
    <mc:AlternateContent xmlns:mc="http://schemas.openxmlformats.org/markup-compatibility/2006">
      <mc:Choice Requires="x14">
        <control shapeId="4104" r:id="rId73" name="CommandButton9">
          <controlPr defaultSize="0" autoLine="0" r:id="rId74">
            <anchor moveWithCells="1">
              <from>
                <xdr:col>10</xdr:col>
                <xdr:colOff>57150</xdr:colOff>
                <xdr:row>0</xdr:row>
                <xdr:rowOff>19050</xdr:rowOff>
              </from>
              <to>
                <xdr:col>11</xdr:col>
                <xdr:colOff>57150</xdr:colOff>
                <xdr:row>1</xdr:row>
                <xdr:rowOff>0</xdr:rowOff>
              </to>
            </anchor>
          </controlPr>
        </control>
      </mc:Choice>
      <mc:Fallback>
        <control shapeId="4104" r:id="rId73" name="CommandButton9"/>
      </mc:Fallback>
    </mc:AlternateContent>
    <mc:AlternateContent xmlns:mc="http://schemas.openxmlformats.org/markup-compatibility/2006">
      <mc:Choice Requires="x14">
        <control shapeId="4105" r:id="rId75" name="CommandButton10">
          <controlPr defaultSize="0" autoLine="0" r:id="rId76">
            <anchor moveWithCells="1">
              <from>
                <xdr:col>12</xdr:col>
                <xdr:colOff>47625</xdr:colOff>
                <xdr:row>0</xdr:row>
                <xdr:rowOff>19050</xdr:rowOff>
              </from>
              <to>
                <xdr:col>13</xdr:col>
                <xdr:colOff>9525</xdr:colOff>
                <xdr:row>1</xdr:row>
                <xdr:rowOff>0</xdr:rowOff>
              </to>
            </anchor>
          </controlPr>
        </control>
      </mc:Choice>
      <mc:Fallback>
        <control shapeId="4105" r:id="rId75" name="CommandButton10"/>
      </mc:Fallback>
    </mc:AlternateContent>
    <mc:AlternateContent xmlns:mc="http://schemas.openxmlformats.org/markup-compatibility/2006">
      <mc:Choice Requires="x14">
        <control shapeId="4106" r:id="rId77" name="CommandButton11">
          <controlPr defaultSize="0" autoLine="0" r:id="rId78">
            <anchor moveWithCells="1">
              <from>
                <xdr:col>13</xdr:col>
                <xdr:colOff>28575</xdr:colOff>
                <xdr:row>0</xdr:row>
                <xdr:rowOff>19050</xdr:rowOff>
              </from>
              <to>
                <xdr:col>13</xdr:col>
                <xdr:colOff>828675</xdr:colOff>
                <xdr:row>1</xdr:row>
                <xdr:rowOff>0</xdr:rowOff>
              </to>
            </anchor>
          </controlPr>
        </control>
      </mc:Choice>
      <mc:Fallback>
        <control shapeId="4106" r:id="rId77" name="CommandButton11"/>
      </mc:Fallback>
    </mc:AlternateContent>
    <mc:AlternateContent xmlns:mc="http://schemas.openxmlformats.org/markup-compatibility/2006">
      <mc:Choice Requires="x14">
        <control shapeId="4107" r:id="rId79" name="CommandButton12">
          <controlPr defaultSize="0" autoLine="0" r:id="rId80">
            <anchor moveWithCells="1">
              <from>
                <xdr:col>0</xdr:col>
                <xdr:colOff>19050</xdr:colOff>
                <xdr:row>0</xdr:row>
                <xdr:rowOff>0</xdr:rowOff>
              </from>
              <to>
                <xdr:col>0</xdr:col>
                <xdr:colOff>714375</xdr:colOff>
                <xdr:row>0</xdr:row>
                <xdr:rowOff>409575</xdr:rowOff>
              </to>
            </anchor>
          </controlPr>
        </control>
      </mc:Choice>
      <mc:Fallback>
        <control shapeId="4107" r:id="rId79" name="CommandButton12"/>
      </mc:Fallback>
    </mc:AlternateContent>
    <mc:AlternateContent xmlns:mc="http://schemas.openxmlformats.org/markup-compatibility/2006">
      <mc:Choice Requires="x14">
        <control shapeId="4108" r:id="rId81" name="CommandButton13">
          <controlPr defaultSize="0" autoLine="0" r:id="rId82">
            <anchor moveWithCells="1">
              <from>
                <xdr:col>6</xdr:col>
                <xdr:colOff>38100</xdr:colOff>
                <xdr:row>0</xdr:row>
                <xdr:rowOff>19050</xdr:rowOff>
              </from>
              <to>
                <xdr:col>6</xdr:col>
                <xdr:colOff>828675</xdr:colOff>
                <xdr:row>1</xdr:row>
                <xdr:rowOff>0</xdr:rowOff>
              </to>
            </anchor>
          </controlPr>
        </control>
      </mc:Choice>
      <mc:Fallback>
        <control shapeId="4108" r:id="rId81" name="CommandButton13"/>
      </mc:Fallback>
    </mc:AlternateContent>
    <mc:AlternateContent xmlns:mc="http://schemas.openxmlformats.org/markup-compatibility/2006">
      <mc:Choice Requires="x14">
        <control shapeId="4109" r:id="rId83" name="CommandButton1">
          <controlPr defaultSize="0" autoLine="0" r:id="rId84">
            <anchor moveWithCells="1">
              <from>
                <xdr:col>2</xdr:col>
                <xdr:colOff>38100</xdr:colOff>
                <xdr:row>0</xdr:row>
                <xdr:rowOff>19050</xdr:rowOff>
              </from>
              <to>
                <xdr:col>2</xdr:col>
                <xdr:colOff>828675</xdr:colOff>
                <xdr:row>1</xdr:row>
                <xdr:rowOff>0</xdr:rowOff>
              </to>
            </anchor>
          </controlPr>
        </control>
      </mc:Choice>
      <mc:Fallback>
        <control shapeId="4109" r:id="rId83" name="CommandButton1"/>
      </mc:Fallback>
    </mc:AlternateContent>
    <mc:AlternateContent xmlns:mc="http://schemas.openxmlformats.org/markup-compatibility/2006">
      <mc:Choice Requires="x14">
        <control shapeId="4110" r:id="rId85" name="CommandButton14">
          <controlPr defaultSize="0" autoLine="0" r:id="rId86">
            <anchor moveWithCells="1">
              <from>
                <xdr:col>15</xdr:col>
                <xdr:colOff>38100</xdr:colOff>
                <xdr:row>0</xdr:row>
                <xdr:rowOff>9525</xdr:rowOff>
              </from>
              <to>
                <xdr:col>15</xdr:col>
                <xdr:colOff>828675</xdr:colOff>
                <xdr:row>0</xdr:row>
                <xdr:rowOff>419100</xdr:rowOff>
              </to>
            </anchor>
          </controlPr>
        </control>
      </mc:Choice>
      <mc:Fallback>
        <control shapeId="4110" r:id="rId85" name="CommandButton14"/>
      </mc:Fallback>
    </mc:AlternateContent>
    <mc:AlternateContent xmlns:mc="http://schemas.openxmlformats.org/markup-compatibility/2006">
      <mc:Choice Requires="x14">
        <control shapeId="4111" r:id="rId87" name="CommandButton15">
          <controlPr defaultSize="0" autoLine="0" r:id="rId88">
            <anchor moveWithCells="1">
              <from>
                <xdr:col>14</xdr:col>
                <xdr:colOff>28575</xdr:colOff>
                <xdr:row>0</xdr:row>
                <xdr:rowOff>19050</xdr:rowOff>
              </from>
              <to>
                <xdr:col>14</xdr:col>
                <xdr:colOff>819150</xdr:colOff>
                <xdr:row>1</xdr:row>
                <xdr:rowOff>0</xdr:rowOff>
              </to>
            </anchor>
          </controlPr>
        </control>
      </mc:Choice>
      <mc:Fallback>
        <control shapeId="4111" r:id="rId87" name="CommandButton15"/>
      </mc:Fallback>
    </mc:AlternateContent>
    <mc:AlternateContent xmlns:mc="http://schemas.openxmlformats.org/markup-compatibility/2006">
      <mc:Choice Requires="x14">
        <control shapeId="4112" r:id="rId89" name="CommandButton16">
          <controlPr defaultSize="0" autoLine="0" r:id="rId90">
            <anchor moveWithCells="1">
              <from>
                <xdr:col>17</xdr:col>
                <xdr:colOff>28575</xdr:colOff>
                <xdr:row>0</xdr:row>
                <xdr:rowOff>9525</xdr:rowOff>
              </from>
              <to>
                <xdr:col>17</xdr:col>
                <xdr:colOff>819150</xdr:colOff>
                <xdr:row>0</xdr:row>
                <xdr:rowOff>419100</xdr:rowOff>
              </to>
            </anchor>
          </controlPr>
        </control>
      </mc:Choice>
      <mc:Fallback>
        <control shapeId="4112" r:id="rId89" name="CommandButton16"/>
      </mc:Fallback>
    </mc:AlternateContent>
    <mc:AlternateContent xmlns:mc="http://schemas.openxmlformats.org/markup-compatibility/2006">
      <mc:Choice Requires="x14">
        <control shapeId="4113" r:id="rId91" name="CommandButton17">
          <controlPr defaultSize="0" autoLine="0" r:id="rId92">
            <anchor moveWithCells="1">
              <from>
                <xdr:col>18</xdr:col>
                <xdr:colOff>95250</xdr:colOff>
                <xdr:row>0</xdr:row>
                <xdr:rowOff>9525</xdr:rowOff>
              </from>
              <to>
                <xdr:col>18</xdr:col>
                <xdr:colOff>800100</xdr:colOff>
                <xdr:row>0</xdr:row>
                <xdr:rowOff>409575</xdr:rowOff>
              </to>
            </anchor>
          </controlPr>
        </control>
      </mc:Choice>
      <mc:Fallback>
        <control shapeId="4113" r:id="rId91" name="CommandButton17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篩股結果"/>
  <dimension ref="A1:AC1544"/>
  <sheetViews>
    <sheetView zoomScale="80" zoomScaleNormal="8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J35" sqref="J35"/>
    </sheetView>
  </sheetViews>
  <sheetFormatPr defaultRowHeight="16.5"/>
  <cols>
    <col min="2" max="2" width="8.25" customWidth="1"/>
    <col min="3" max="3" width="12.875" bestFit="1" customWidth="1"/>
    <col min="4" max="11" width="8.25" customWidth="1"/>
    <col min="12" max="14" width="10.75" customWidth="1"/>
    <col min="27" max="28" width="9" style="85"/>
    <col min="30" max="16384" width="9" style="85"/>
  </cols>
  <sheetData>
    <row r="1" spans="1:1" ht="27.75" customHeight="1">
      <c r="A1" t="s">
        <v>298</v>
      </c>
    </row>
    <row r="2" spans="1:1">
      <c r="A2">
        <v>1101</v>
      </c>
    </row>
    <row r="3" spans="1:1">
      <c r="A3">
        <v>1102</v>
      </c>
    </row>
    <row r="4" spans="1:1">
      <c r="A4">
        <v>1103</v>
      </c>
    </row>
    <row r="5" spans="1:1">
      <c r="A5">
        <v>1104</v>
      </c>
    </row>
    <row r="6" spans="1:1">
      <c r="A6">
        <v>1108</v>
      </c>
    </row>
    <row r="7" spans="1:1">
      <c r="A7">
        <v>1109</v>
      </c>
    </row>
    <row r="8" spans="1:1">
      <c r="A8">
        <v>1110</v>
      </c>
    </row>
    <row r="9" spans="1:1">
      <c r="A9">
        <v>1201</v>
      </c>
    </row>
    <row r="10" spans="1:1">
      <c r="A10">
        <v>1203</v>
      </c>
    </row>
    <row r="11" spans="1:1">
      <c r="A11">
        <v>1213</v>
      </c>
    </row>
    <row r="12" spans="1:1">
      <c r="A12">
        <v>1215</v>
      </c>
    </row>
    <row r="13" spans="1:1">
      <c r="A13">
        <v>1216</v>
      </c>
    </row>
    <row r="14" spans="1:1">
      <c r="A14">
        <v>1217</v>
      </c>
    </row>
    <row r="15" spans="1:1">
      <c r="A15">
        <v>1218</v>
      </c>
    </row>
    <row r="16" spans="1:1">
      <c r="A16">
        <v>1219</v>
      </c>
    </row>
    <row r="17" spans="1:1">
      <c r="A17">
        <v>1220</v>
      </c>
    </row>
    <row r="18" spans="1:1">
      <c r="A18">
        <v>1225</v>
      </c>
    </row>
    <row r="19" spans="1:1">
      <c r="A19">
        <v>1227</v>
      </c>
    </row>
    <row r="20" spans="1:1">
      <c r="A20">
        <v>1229</v>
      </c>
    </row>
    <row r="21" spans="1:1">
      <c r="A21">
        <v>1231</v>
      </c>
    </row>
    <row r="22" spans="1:1">
      <c r="A22">
        <v>1232</v>
      </c>
    </row>
    <row r="23" spans="1:1">
      <c r="A23">
        <v>1233</v>
      </c>
    </row>
    <row r="24" spans="1:1">
      <c r="A24">
        <v>1234</v>
      </c>
    </row>
    <row r="25" spans="1:1">
      <c r="A25">
        <v>1235</v>
      </c>
    </row>
    <row r="26" spans="1:1">
      <c r="A26">
        <v>1236</v>
      </c>
    </row>
    <row r="27" spans="1:1">
      <c r="A27">
        <v>1256</v>
      </c>
    </row>
    <row r="28" spans="1:1">
      <c r="A28">
        <v>1258</v>
      </c>
    </row>
    <row r="29" spans="1:1">
      <c r="A29">
        <v>1259</v>
      </c>
    </row>
    <row r="30" spans="1:1">
      <c r="A30">
        <v>1262</v>
      </c>
    </row>
    <row r="31" spans="1:1">
      <c r="A31">
        <v>1264</v>
      </c>
    </row>
    <row r="32" spans="1:1">
      <c r="A32">
        <v>1301</v>
      </c>
    </row>
    <row r="33" spans="1:1">
      <c r="A33">
        <v>1303</v>
      </c>
    </row>
    <row r="34" spans="1:1">
      <c r="A34">
        <v>1304</v>
      </c>
    </row>
    <row r="35" spans="1:1">
      <c r="A35">
        <v>1305</v>
      </c>
    </row>
    <row r="36" spans="1:1">
      <c r="A36">
        <v>1307</v>
      </c>
    </row>
    <row r="37" spans="1:1">
      <c r="A37">
        <v>1308</v>
      </c>
    </row>
    <row r="38" spans="1:1">
      <c r="A38">
        <v>1309</v>
      </c>
    </row>
    <row r="39" spans="1:1">
      <c r="A39">
        <v>1310</v>
      </c>
    </row>
    <row r="40" spans="1:1">
      <c r="A40">
        <v>1312</v>
      </c>
    </row>
    <row r="41" spans="1:1">
      <c r="A41">
        <v>1313</v>
      </c>
    </row>
    <row r="42" spans="1:1">
      <c r="A42">
        <v>1314</v>
      </c>
    </row>
    <row r="43" spans="1:1">
      <c r="A43">
        <v>1315</v>
      </c>
    </row>
    <row r="44" spans="1:1">
      <c r="A44">
        <v>1316</v>
      </c>
    </row>
    <row r="45" spans="1:1">
      <c r="A45">
        <v>1319</v>
      </c>
    </row>
    <row r="46" spans="1:1">
      <c r="A46">
        <v>1321</v>
      </c>
    </row>
    <row r="47" spans="1:1">
      <c r="A47">
        <v>1323</v>
      </c>
    </row>
    <row r="48" spans="1:1">
      <c r="A48">
        <v>1324</v>
      </c>
    </row>
    <row r="49" spans="1:1">
      <c r="A49">
        <v>1325</v>
      </c>
    </row>
    <row r="50" spans="1:1">
      <c r="A50">
        <v>1326</v>
      </c>
    </row>
    <row r="51" spans="1:1">
      <c r="A51">
        <v>1333</v>
      </c>
    </row>
    <row r="52" spans="1:1">
      <c r="A52">
        <v>1336</v>
      </c>
    </row>
    <row r="53" spans="1:1">
      <c r="A53">
        <v>1337</v>
      </c>
    </row>
    <row r="54" spans="1:1">
      <c r="A54">
        <v>1338</v>
      </c>
    </row>
    <row r="55" spans="1:1">
      <c r="A55">
        <v>1339</v>
      </c>
    </row>
    <row r="56" spans="1:1">
      <c r="A56">
        <v>1340</v>
      </c>
    </row>
    <row r="57" spans="1:1">
      <c r="A57">
        <v>1402</v>
      </c>
    </row>
    <row r="58" spans="1:1">
      <c r="A58">
        <v>1409</v>
      </c>
    </row>
    <row r="59" spans="1:1">
      <c r="A59">
        <v>1410</v>
      </c>
    </row>
    <row r="60" spans="1:1">
      <c r="A60">
        <v>1413</v>
      </c>
    </row>
    <row r="61" spans="1:1">
      <c r="A61">
        <v>1414</v>
      </c>
    </row>
    <row r="62" spans="1:1">
      <c r="A62">
        <v>1416</v>
      </c>
    </row>
    <row r="63" spans="1:1">
      <c r="A63">
        <v>1417</v>
      </c>
    </row>
    <row r="64" spans="1:1">
      <c r="A64">
        <v>1418</v>
      </c>
    </row>
    <row r="65" spans="1:1">
      <c r="A65">
        <v>1419</v>
      </c>
    </row>
    <row r="66" spans="1:1">
      <c r="A66">
        <v>1423</v>
      </c>
    </row>
    <row r="67" spans="1:1">
      <c r="A67">
        <v>1432</v>
      </c>
    </row>
    <row r="68" spans="1:1">
      <c r="A68">
        <v>1434</v>
      </c>
    </row>
    <row r="69" spans="1:1">
      <c r="A69">
        <v>1435</v>
      </c>
    </row>
    <row r="70" spans="1:1">
      <c r="A70">
        <v>1436</v>
      </c>
    </row>
    <row r="71" spans="1:1">
      <c r="A71">
        <v>1437</v>
      </c>
    </row>
    <row r="72" spans="1:1">
      <c r="A72">
        <v>1438</v>
      </c>
    </row>
    <row r="73" spans="1:1">
      <c r="A73">
        <v>1439</v>
      </c>
    </row>
    <row r="74" spans="1:1">
      <c r="A74">
        <v>1440</v>
      </c>
    </row>
    <row r="75" spans="1:1">
      <c r="A75">
        <v>1441</v>
      </c>
    </row>
    <row r="76" spans="1:1">
      <c r="A76">
        <v>1442</v>
      </c>
    </row>
    <row r="77" spans="1:1">
      <c r="A77">
        <v>1443</v>
      </c>
    </row>
    <row r="78" spans="1:1">
      <c r="A78">
        <v>1444</v>
      </c>
    </row>
    <row r="79" spans="1:1">
      <c r="A79">
        <v>1445</v>
      </c>
    </row>
    <row r="80" spans="1:1">
      <c r="A80">
        <v>1446</v>
      </c>
    </row>
    <row r="81" spans="1:1">
      <c r="A81">
        <v>1447</v>
      </c>
    </row>
    <row r="82" spans="1:1">
      <c r="A82">
        <v>1449</v>
      </c>
    </row>
    <row r="83" spans="1:1">
      <c r="A83">
        <v>1451</v>
      </c>
    </row>
    <row r="84" spans="1:1">
      <c r="A84">
        <v>1452</v>
      </c>
    </row>
    <row r="85" spans="1:1">
      <c r="A85">
        <v>1453</v>
      </c>
    </row>
    <row r="86" spans="1:1">
      <c r="A86">
        <v>1454</v>
      </c>
    </row>
    <row r="87" spans="1:1">
      <c r="A87">
        <v>1455</v>
      </c>
    </row>
    <row r="88" spans="1:1">
      <c r="A88">
        <v>1456</v>
      </c>
    </row>
    <row r="89" spans="1:1">
      <c r="A89">
        <v>1457</v>
      </c>
    </row>
    <row r="90" spans="1:1">
      <c r="A90">
        <v>1459</v>
      </c>
    </row>
    <row r="91" spans="1:1">
      <c r="A91">
        <v>1460</v>
      </c>
    </row>
    <row r="92" spans="1:1">
      <c r="A92">
        <v>1463</v>
      </c>
    </row>
    <row r="93" spans="1:1">
      <c r="A93">
        <v>1464</v>
      </c>
    </row>
    <row r="94" spans="1:1">
      <c r="A94">
        <v>1465</v>
      </c>
    </row>
    <row r="95" spans="1:1">
      <c r="A95">
        <v>1466</v>
      </c>
    </row>
    <row r="96" spans="1:1">
      <c r="A96">
        <v>1467</v>
      </c>
    </row>
    <row r="97" spans="1:1">
      <c r="A97">
        <v>1468</v>
      </c>
    </row>
    <row r="98" spans="1:1">
      <c r="A98">
        <v>1469</v>
      </c>
    </row>
    <row r="99" spans="1:1">
      <c r="A99">
        <v>1470</v>
      </c>
    </row>
    <row r="100" spans="1:1">
      <c r="A100">
        <v>1471</v>
      </c>
    </row>
    <row r="101" spans="1:1">
      <c r="A101">
        <v>1472</v>
      </c>
    </row>
    <row r="102" spans="1:1">
      <c r="A102">
        <v>1473</v>
      </c>
    </row>
    <row r="103" spans="1:1">
      <c r="A103">
        <v>1474</v>
      </c>
    </row>
    <row r="104" spans="1:1">
      <c r="A104">
        <v>1475</v>
      </c>
    </row>
    <row r="105" spans="1:1">
      <c r="A105">
        <v>1476</v>
      </c>
    </row>
    <row r="106" spans="1:1">
      <c r="A106">
        <v>1477</v>
      </c>
    </row>
    <row r="107" spans="1:1">
      <c r="A107">
        <v>1503</v>
      </c>
    </row>
    <row r="108" spans="1:1">
      <c r="A108">
        <v>1504</v>
      </c>
    </row>
    <row r="109" spans="1:1">
      <c r="A109">
        <v>1506</v>
      </c>
    </row>
    <row r="110" spans="1:1">
      <c r="A110">
        <v>1507</v>
      </c>
    </row>
    <row r="111" spans="1:1">
      <c r="A111">
        <v>1512</v>
      </c>
    </row>
    <row r="112" spans="1:1">
      <c r="A112">
        <v>1513</v>
      </c>
    </row>
    <row r="113" spans="1:1">
      <c r="A113">
        <v>1514</v>
      </c>
    </row>
    <row r="114" spans="1:1">
      <c r="A114">
        <v>1515</v>
      </c>
    </row>
    <row r="115" spans="1:1">
      <c r="A115">
        <v>1516</v>
      </c>
    </row>
    <row r="116" spans="1:1">
      <c r="A116">
        <v>1517</v>
      </c>
    </row>
    <row r="117" spans="1:1">
      <c r="A117">
        <v>1519</v>
      </c>
    </row>
    <row r="118" spans="1:1">
      <c r="A118">
        <v>1521</v>
      </c>
    </row>
    <row r="119" spans="1:1">
      <c r="A119">
        <v>1522</v>
      </c>
    </row>
    <row r="120" spans="1:1">
      <c r="A120">
        <v>1524</v>
      </c>
    </row>
    <row r="121" spans="1:1">
      <c r="A121">
        <v>1525</v>
      </c>
    </row>
    <row r="122" spans="1:1">
      <c r="A122">
        <v>1526</v>
      </c>
    </row>
    <row r="123" spans="1:1">
      <c r="A123">
        <v>1527</v>
      </c>
    </row>
    <row r="124" spans="1:1">
      <c r="A124">
        <v>1528</v>
      </c>
    </row>
    <row r="125" spans="1:1">
      <c r="A125">
        <v>1529</v>
      </c>
    </row>
    <row r="126" spans="1:1">
      <c r="A126">
        <v>1530</v>
      </c>
    </row>
    <row r="127" spans="1:1">
      <c r="A127">
        <v>1531</v>
      </c>
    </row>
    <row r="128" spans="1:1">
      <c r="A128">
        <v>1532</v>
      </c>
    </row>
    <row r="129" spans="1:1">
      <c r="A129">
        <v>1533</v>
      </c>
    </row>
    <row r="130" spans="1:1">
      <c r="A130">
        <v>1535</v>
      </c>
    </row>
    <row r="131" spans="1:1">
      <c r="A131">
        <v>1536</v>
      </c>
    </row>
    <row r="132" spans="1:1">
      <c r="A132">
        <v>1537</v>
      </c>
    </row>
    <row r="133" spans="1:1">
      <c r="A133">
        <v>1538</v>
      </c>
    </row>
    <row r="134" spans="1:1">
      <c r="A134">
        <v>1539</v>
      </c>
    </row>
    <row r="135" spans="1:1">
      <c r="A135">
        <v>1540</v>
      </c>
    </row>
    <row r="136" spans="1:1">
      <c r="A136">
        <v>1541</v>
      </c>
    </row>
    <row r="137" spans="1:1">
      <c r="A137">
        <v>1558</v>
      </c>
    </row>
    <row r="138" spans="1:1">
      <c r="A138">
        <v>1560</v>
      </c>
    </row>
    <row r="139" spans="1:1">
      <c r="A139">
        <v>1565</v>
      </c>
    </row>
    <row r="140" spans="1:1">
      <c r="A140">
        <v>1566</v>
      </c>
    </row>
    <row r="141" spans="1:1">
      <c r="A141">
        <v>1568</v>
      </c>
    </row>
    <row r="142" spans="1:1">
      <c r="A142">
        <v>1569</v>
      </c>
    </row>
    <row r="143" spans="1:1">
      <c r="A143">
        <v>1570</v>
      </c>
    </row>
    <row r="144" spans="1:1">
      <c r="A144">
        <v>1580</v>
      </c>
    </row>
    <row r="145" spans="1:1">
      <c r="A145">
        <v>1582</v>
      </c>
    </row>
    <row r="146" spans="1:1">
      <c r="A146">
        <v>1583</v>
      </c>
    </row>
    <row r="147" spans="1:1">
      <c r="A147">
        <v>1584</v>
      </c>
    </row>
    <row r="148" spans="1:1">
      <c r="A148">
        <v>1586</v>
      </c>
    </row>
    <row r="149" spans="1:1">
      <c r="A149">
        <v>1589</v>
      </c>
    </row>
    <row r="150" spans="1:1">
      <c r="A150">
        <v>1590</v>
      </c>
    </row>
    <row r="151" spans="1:1">
      <c r="A151">
        <v>1591</v>
      </c>
    </row>
    <row r="152" spans="1:1">
      <c r="A152">
        <v>1592</v>
      </c>
    </row>
    <row r="153" spans="1:1">
      <c r="A153">
        <v>1593</v>
      </c>
    </row>
    <row r="154" spans="1:1">
      <c r="A154">
        <v>1595</v>
      </c>
    </row>
    <row r="155" spans="1:1">
      <c r="A155">
        <v>1597</v>
      </c>
    </row>
    <row r="156" spans="1:1">
      <c r="A156">
        <v>1599</v>
      </c>
    </row>
    <row r="157" spans="1:1">
      <c r="A157">
        <v>1603</v>
      </c>
    </row>
    <row r="158" spans="1:1">
      <c r="A158">
        <v>1604</v>
      </c>
    </row>
    <row r="159" spans="1:1">
      <c r="A159">
        <v>1605</v>
      </c>
    </row>
    <row r="160" spans="1:1">
      <c r="A160">
        <v>1608</v>
      </c>
    </row>
    <row r="161" spans="1:1">
      <c r="A161">
        <v>1609</v>
      </c>
    </row>
    <row r="162" spans="1:1">
      <c r="A162">
        <v>1611</v>
      </c>
    </row>
    <row r="163" spans="1:1">
      <c r="A163">
        <v>1612</v>
      </c>
    </row>
    <row r="164" spans="1:1">
      <c r="A164">
        <v>1613</v>
      </c>
    </row>
    <row r="165" spans="1:1">
      <c r="A165">
        <v>1614</v>
      </c>
    </row>
    <row r="166" spans="1:1">
      <c r="A166">
        <v>1615</v>
      </c>
    </row>
    <row r="167" spans="1:1">
      <c r="A167">
        <v>1616</v>
      </c>
    </row>
    <row r="168" spans="1:1">
      <c r="A168">
        <v>1617</v>
      </c>
    </row>
    <row r="169" spans="1:1">
      <c r="A169">
        <v>1618</v>
      </c>
    </row>
    <row r="170" spans="1:1">
      <c r="A170">
        <v>1626</v>
      </c>
    </row>
    <row r="171" spans="1:1">
      <c r="A171">
        <v>1701</v>
      </c>
    </row>
    <row r="172" spans="1:1">
      <c r="A172">
        <v>1702</v>
      </c>
    </row>
    <row r="173" spans="1:1">
      <c r="A173">
        <v>1704</v>
      </c>
    </row>
    <row r="174" spans="1:1">
      <c r="A174">
        <v>1707</v>
      </c>
    </row>
    <row r="175" spans="1:1">
      <c r="A175">
        <v>1708</v>
      </c>
    </row>
    <row r="176" spans="1:1">
      <c r="A176">
        <v>1709</v>
      </c>
    </row>
    <row r="177" spans="1:1">
      <c r="A177">
        <v>1710</v>
      </c>
    </row>
    <row r="178" spans="1:1">
      <c r="A178">
        <v>1711</v>
      </c>
    </row>
    <row r="179" spans="1:1">
      <c r="A179">
        <v>1712</v>
      </c>
    </row>
    <row r="180" spans="1:1">
      <c r="A180">
        <v>1713</v>
      </c>
    </row>
    <row r="181" spans="1:1">
      <c r="A181">
        <v>1714</v>
      </c>
    </row>
    <row r="182" spans="1:1">
      <c r="A182">
        <v>1715</v>
      </c>
    </row>
    <row r="183" spans="1:1">
      <c r="A183">
        <v>1717</v>
      </c>
    </row>
    <row r="184" spans="1:1">
      <c r="A184">
        <v>1718</v>
      </c>
    </row>
    <row r="185" spans="1:1">
      <c r="A185">
        <v>1720</v>
      </c>
    </row>
    <row r="186" spans="1:1">
      <c r="A186">
        <v>1721</v>
      </c>
    </row>
    <row r="187" spans="1:1">
      <c r="A187">
        <v>1722</v>
      </c>
    </row>
    <row r="188" spans="1:1">
      <c r="A188">
        <v>1723</v>
      </c>
    </row>
    <row r="189" spans="1:1">
      <c r="A189">
        <v>1724</v>
      </c>
    </row>
    <row r="190" spans="1:1">
      <c r="A190">
        <v>1725</v>
      </c>
    </row>
    <row r="191" spans="1:1">
      <c r="A191">
        <v>1726</v>
      </c>
    </row>
    <row r="192" spans="1:1">
      <c r="A192">
        <v>1727</v>
      </c>
    </row>
    <row r="193" spans="1:1">
      <c r="A193">
        <v>1729</v>
      </c>
    </row>
    <row r="194" spans="1:1">
      <c r="A194">
        <v>1730</v>
      </c>
    </row>
    <row r="195" spans="1:1">
      <c r="A195">
        <v>1731</v>
      </c>
    </row>
    <row r="196" spans="1:1">
      <c r="A196">
        <v>1732</v>
      </c>
    </row>
    <row r="197" spans="1:1">
      <c r="A197">
        <v>1733</v>
      </c>
    </row>
    <row r="198" spans="1:1">
      <c r="A198">
        <v>1734</v>
      </c>
    </row>
    <row r="199" spans="1:1">
      <c r="A199">
        <v>1735</v>
      </c>
    </row>
    <row r="200" spans="1:1">
      <c r="A200">
        <v>1736</v>
      </c>
    </row>
    <row r="201" spans="1:1">
      <c r="A201">
        <v>1737</v>
      </c>
    </row>
    <row r="202" spans="1:1">
      <c r="A202">
        <v>1742</v>
      </c>
    </row>
    <row r="203" spans="1:1">
      <c r="A203">
        <v>1752</v>
      </c>
    </row>
    <row r="204" spans="1:1">
      <c r="A204">
        <v>1762</v>
      </c>
    </row>
    <row r="205" spans="1:1">
      <c r="A205">
        <v>1773</v>
      </c>
    </row>
    <row r="206" spans="1:1">
      <c r="A206">
        <v>1777</v>
      </c>
    </row>
    <row r="207" spans="1:1">
      <c r="A207">
        <v>1781</v>
      </c>
    </row>
    <row r="208" spans="1:1">
      <c r="A208">
        <v>1783</v>
      </c>
    </row>
    <row r="209" spans="1:1">
      <c r="A209">
        <v>1784</v>
      </c>
    </row>
    <row r="210" spans="1:1">
      <c r="A210">
        <v>1785</v>
      </c>
    </row>
    <row r="211" spans="1:1">
      <c r="A211">
        <v>1786</v>
      </c>
    </row>
    <row r="212" spans="1:1">
      <c r="A212">
        <v>1787</v>
      </c>
    </row>
    <row r="213" spans="1:1">
      <c r="A213">
        <v>1788</v>
      </c>
    </row>
    <row r="214" spans="1:1">
      <c r="A214">
        <v>1789</v>
      </c>
    </row>
    <row r="215" spans="1:1">
      <c r="A215">
        <v>1795</v>
      </c>
    </row>
    <row r="216" spans="1:1">
      <c r="A216">
        <v>1799</v>
      </c>
    </row>
    <row r="217" spans="1:1">
      <c r="A217">
        <v>1802</v>
      </c>
    </row>
    <row r="218" spans="1:1">
      <c r="A218">
        <v>1805</v>
      </c>
    </row>
    <row r="219" spans="1:1">
      <c r="A219">
        <v>1806</v>
      </c>
    </row>
    <row r="220" spans="1:1">
      <c r="A220">
        <v>1808</v>
      </c>
    </row>
    <row r="221" spans="1:1">
      <c r="A221">
        <v>1809</v>
      </c>
    </row>
    <row r="222" spans="1:1">
      <c r="A222">
        <v>1810</v>
      </c>
    </row>
    <row r="223" spans="1:1">
      <c r="A223">
        <v>1813</v>
      </c>
    </row>
    <row r="224" spans="1:1">
      <c r="A224">
        <v>1815</v>
      </c>
    </row>
    <row r="225" spans="1:1">
      <c r="A225">
        <v>1902</v>
      </c>
    </row>
    <row r="226" spans="1:1">
      <c r="A226">
        <v>1903</v>
      </c>
    </row>
    <row r="227" spans="1:1">
      <c r="A227">
        <v>1904</v>
      </c>
    </row>
    <row r="228" spans="1:1">
      <c r="A228">
        <v>1905</v>
      </c>
    </row>
    <row r="229" spans="1:1">
      <c r="A229">
        <v>1906</v>
      </c>
    </row>
    <row r="230" spans="1:1">
      <c r="A230">
        <v>1907</v>
      </c>
    </row>
    <row r="231" spans="1:1">
      <c r="A231">
        <v>1909</v>
      </c>
    </row>
    <row r="232" spans="1:1">
      <c r="A232">
        <v>2002</v>
      </c>
    </row>
    <row r="233" spans="1:1">
      <c r="A233">
        <v>2006</v>
      </c>
    </row>
    <row r="234" spans="1:1">
      <c r="A234">
        <v>2007</v>
      </c>
    </row>
    <row r="235" spans="1:1">
      <c r="A235">
        <v>2008</v>
      </c>
    </row>
    <row r="236" spans="1:1">
      <c r="A236">
        <v>2009</v>
      </c>
    </row>
    <row r="237" spans="1:1">
      <c r="A237">
        <v>2010</v>
      </c>
    </row>
    <row r="238" spans="1:1">
      <c r="A238">
        <v>2012</v>
      </c>
    </row>
    <row r="239" spans="1:1">
      <c r="A239">
        <v>2013</v>
      </c>
    </row>
    <row r="240" spans="1:1">
      <c r="A240">
        <v>2014</v>
      </c>
    </row>
    <row r="241" spans="1:1">
      <c r="A241">
        <v>2015</v>
      </c>
    </row>
    <row r="242" spans="1:1">
      <c r="A242">
        <v>2017</v>
      </c>
    </row>
    <row r="243" spans="1:1">
      <c r="A243">
        <v>2020</v>
      </c>
    </row>
    <row r="244" spans="1:1">
      <c r="A244">
        <v>2022</v>
      </c>
    </row>
    <row r="245" spans="1:1">
      <c r="A245">
        <v>2023</v>
      </c>
    </row>
    <row r="246" spans="1:1">
      <c r="A246">
        <v>2024</v>
      </c>
    </row>
    <row r="247" spans="1:1">
      <c r="A247">
        <v>2025</v>
      </c>
    </row>
    <row r="248" spans="1:1">
      <c r="A248">
        <v>2027</v>
      </c>
    </row>
    <row r="249" spans="1:1">
      <c r="A249">
        <v>2028</v>
      </c>
    </row>
    <row r="250" spans="1:1">
      <c r="A250">
        <v>2029</v>
      </c>
    </row>
    <row r="251" spans="1:1">
      <c r="A251">
        <v>2030</v>
      </c>
    </row>
    <row r="252" spans="1:1">
      <c r="A252">
        <v>2031</v>
      </c>
    </row>
    <row r="253" spans="1:1">
      <c r="A253">
        <v>2032</v>
      </c>
    </row>
    <row r="254" spans="1:1">
      <c r="A254">
        <v>2033</v>
      </c>
    </row>
    <row r="255" spans="1:1">
      <c r="A255">
        <v>2034</v>
      </c>
    </row>
    <row r="256" spans="1:1">
      <c r="A256">
        <v>2035</v>
      </c>
    </row>
    <row r="257" spans="1:1">
      <c r="A257">
        <v>2038</v>
      </c>
    </row>
    <row r="258" spans="1:1">
      <c r="A258">
        <v>2049</v>
      </c>
    </row>
    <row r="259" spans="1:1">
      <c r="A259">
        <v>2059</v>
      </c>
    </row>
    <row r="260" spans="1:1">
      <c r="A260">
        <v>2061</v>
      </c>
    </row>
    <row r="261" spans="1:1">
      <c r="A261">
        <v>2062</v>
      </c>
    </row>
    <row r="262" spans="1:1">
      <c r="A262">
        <v>2063</v>
      </c>
    </row>
    <row r="263" spans="1:1">
      <c r="A263">
        <v>2064</v>
      </c>
    </row>
    <row r="264" spans="1:1">
      <c r="A264">
        <v>2066</v>
      </c>
    </row>
    <row r="265" spans="1:1">
      <c r="A265">
        <v>2067</v>
      </c>
    </row>
    <row r="266" spans="1:1">
      <c r="A266">
        <v>2101</v>
      </c>
    </row>
    <row r="267" spans="1:1">
      <c r="A267">
        <v>2102</v>
      </c>
    </row>
    <row r="268" spans="1:1">
      <c r="A268">
        <v>2103</v>
      </c>
    </row>
    <row r="269" spans="1:1">
      <c r="A269">
        <v>2104</v>
      </c>
    </row>
    <row r="270" spans="1:1">
      <c r="A270">
        <v>2105</v>
      </c>
    </row>
    <row r="271" spans="1:1">
      <c r="A271">
        <v>2106</v>
      </c>
    </row>
    <row r="272" spans="1:1">
      <c r="A272">
        <v>2107</v>
      </c>
    </row>
    <row r="273" spans="1:1">
      <c r="A273">
        <v>2108</v>
      </c>
    </row>
    <row r="274" spans="1:1">
      <c r="A274">
        <v>2109</v>
      </c>
    </row>
    <row r="275" spans="1:1">
      <c r="A275">
        <v>2114</v>
      </c>
    </row>
    <row r="276" spans="1:1">
      <c r="A276">
        <v>2115</v>
      </c>
    </row>
    <row r="277" spans="1:1">
      <c r="A277">
        <v>2201</v>
      </c>
    </row>
    <row r="278" spans="1:1">
      <c r="A278">
        <v>2204</v>
      </c>
    </row>
    <row r="279" spans="1:1">
      <c r="A279">
        <v>2206</v>
      </c>
    </row>
    <row r="280" spans="1:1">
      <c r="A280">
        <v>2207</v>
      </c>
    </row>
    <row r="281" spans="1:1">
      <c r="A281">
        <v>2208</v>
      </c>
    </row>
    <row r="282" spans="1:1">
      <c r="A282">
        <v>2221</v>
      </c>
    </row>
    <row r="283" spans="1:1">
      <c r="A283">
        <v>2227</v>
      </c>
    </row>
    <row r="284" spans="1:1">
      <c r="A284">
        <v>2228</v>
      </c>
    </row>
    <row r="285" spans="1:1">
      <c r="A285">
        <v>2230</v>
      </c>
    </row>
    <row r="286" spans="1:1">
      <c r="A286">
        <v>2231</v>
      </c>
    </row>
    <row r="287" spans="1:1">
      <c r="A287">
        <v>2233</v>
      </c>
    </row>
    <row r="288" spans="1:1">
      <c r="A288">
        <v>2235</v>
      </c>
    </row>
    <row r="289" spans="1:1">
      <c r="A289">
        <v>2301</v>
      </c>
    </row>
    <row r="290" spans="1:1">
      <c r="A290">
        <v>2302</v>
      </c>
    </row>
    <row r="291" spans="1:1">
      <c r="A291">
        <v>2303</v>
      </c>
    </row>
    <row r="292" spans="1:1">
      <c r="A292">
        <v>2305</v>
      </c>
    </row>
    <row r="293" spans="1:1">
      <c r="A293">
        <v>2308</v>
      </c>
    </row>
    <row r="294" spans="1:1">
      <c r="A294">
        <v>2311</v>
      </c>
    </row>
    <row r="295" spans="1:1">
      <c r="A295">
        <v>2312</v>
      </c>
    </row>
    <row r="296" spans="1:1">
      <c r="A296">
        <v>2313</v>
      </c>
    </row>
    <row r="297" spans="1:1">
      <c r="A297">
        <v>2314</v>
      </c>
    </row>
    <row r="298" spans="1:1">
      <c r="A298">
        <v>2316</v>
      </c>
    </row>
    <row r="299" spans="1:1">
      <c r="A299">
        <v>2317</v>
      </c>
    </row>
    <row r="300" spans="1:1">
      <c r="A300">
        <v>2321</v>
      </c>
    </row>
    <row r="301" spans="1:1">
      <c r="A301">
        <v>2323</v>
      </c>
    </row>
    <row r="302" spans="1:1">
      <c r="A302">
        <v>2324</v>
      </c>
    </row>
    <row r="303" spans="1:1">
      <c r="A303">
        <v>2325</v>
      </c>
    </row>
    <row r="304" spans="1:1">
      <c r="A304">
        <v>2327</v>
      </c>
    </row>
    <row r="305" spans="1:1">
      <c r="A305">
        <v>2328</v>
      </c>
    </row>
    <row r="306" spans="1:1">
      <c r="A306">
        <v>2329</v>
      </c>
    </row>
    <row r="307" spans="1:1">
      <c r="A307">
        <v>2330</v>
      </c>
    </row>
    <row r="308" spans="1:1">
      <c r="A308">
        <v>2331</v>
      </c>
    </row>
    <row r="309" spans="1:1">
      <c r="A309">
        <v>2332</v>
      </c>
    </row>
    <row r="310" spans="1:1">
      <c r="A310">
        <v>2337</v>
      </c>
    </row>
    <row r="311" spans="1:1">
      <c r="A311">
        <v>2338</v>
      </c>
    </row>
    <row r="312" spans="1:1">
      <c r="A312">
        <v>2340</v>
      </c>
    </row>
    <row r="313" spans="1:1">
      <c r="A313">
        <v>2342</v>
      </c>
    </row>
    <row r="314" spans="1:1">
      <c r="A314">
        <v>2344</v>
      </c>
    </row>
    <row r="315" spans="1:1">
      <c r="A315">
        <v>2345</v>
      </c>
    </row>
    <row r="316" spans="1:1">
      <c r="A316">
        <v>2347</v>
      </c>
    </row>
    <row r="317" spans="1:1">
      <c r="A317">
        <v>2348</v>
      </c>
    </row>
    <row r="318" spans="1:1">
      <c r="A318">
        <v>2349</v>
      </c>
    </row>
    <row r="319" spans="1:1">
      <c r="A319">
        <v>2351</v>
      </c>
    </row>
    <row r="320" spans="1:1">
      <c r="A320">
        <v>2352</v>
      </c>
    </row>
    <row r="321" spans="1:1">
      <c r="A321">
        <v>2353</v>
      </c>
    </row>
    <row r="322" spans="1:1">
      <c r="A322">
        <v>2354</v>
      </c>
    </row>
    <row r="323" spans="1:1">
      <c r="A323">
        <v>2355</v>
      </c>
    </row>
    <row r="324" spans="1:1">
      <c r="A324">
        <v>2356</v>
      </c>
    </row>
    <row r="325" spans="1:1">
      <c r="A325">
        <v>2357</v>
      </c>
    </row>
    <row r="326" spans="1:1">
      <c r="A326">
        <v>2358</v>
      </c>
    </row>
    <row r="327" spans="1:1">
      <c r="A327">
        <v>2359</v>
      </c>
    </row>
    <row r="328" spans="1:1">
      <c r="A328">
        <v>2360</v>
      </c>
    </row>
    <row r="329" spans="1:1">
      <c r="A329">
        <v>2361</v>
      </c>
    </row>
    <row r="330" spans="1:1">
      <c r="A330">
        <v>2362</v>
      </c>
    </row>
    <row r="331" spans="1:1">
      <c r="A331">
        <v>2363</v>
      </c>
    </row>
    <row r="332" spans="1:1">
      <c r="A332">
        <v>2364</v>
      </c>
    </row>
    <row r="333" spans="1:1">
      <c r="A333">
        <v>2365</v>
      </c>
    </row>
    <row r="334" spans="1:1">
      <c r="A334">
        <v>2367</v>
      </c>
    </row>
    <row r="335" spans="1:1">
      <c r="A335">
        <v>2368</v>
      </c>
    </row>
    <row r="336" spans="1:1">
      <c r="A336">
        <v>2369</v>
      </c>
    </row>
    <row r="337" spans="1:1">
      <c r="A337">
        <v>2371</v>
      </c>
    </row>
    <row r="338" spans="1:1">
      <c r="A338">
        <v>2373</v>
      </c>
    </row>
    <row r="339" spans="1:1">
      <c r="A339">
        <v>2374</v>
      </c>
    </row>
    <row r="340" spans="1:1">
      <c r="A340">
        <v>2375</v>
      </c>
    </row>
    <row r="341" spans="1:1">
      <c r="A341">
        <v>2376</v>
      </c>
    </row>
    <row r="342" spans="1:1">
      <c r="A342">
        <v>2377</v>
      </c>
    </row>
    <row r="343" spans="1:1">
      <c r="A343">
        <v>2379</v>
      </c>
    </row>
    <row r="344" spans="1:1">
      <c r="A344">
        <v>2380</v>
      </c>
    </row>
    <row r="345" spans="1:1">
      <c r="A345">
        <v>2382</v>
      </c>
    </row>
    <row r="346" spans="1:1">
      <c r="A346">
        <v>2383</v>
      </c>
    </row>
    <row r="347" spans="1:1">
      <c r="A347">
        <v>2385</v>
      </c>
    </row>
    <row r="348" spans="1:1">
      <c r="A348">
        <v>2387</v>
      </c>
    </row>
    <row r="349" spans="1:1">
      <c r="A349">
        <v>2388</v>
      </c>
    </row>
    <row r="350" spans="1:1">
      <c r="A350">
        <v>2390</v>
      </c>
    </row>
    <row r="351" spans="1:1">
      <c r="A351">
        <v>2392</v>
      </c>
    </row>
    <row r="352" spans="1:1">
      <c r="A352">
        <v>2393</v>
      </c>
    </row>
    <row r="353" spans="1:1">
      <c r="A353">
        <v>2395</v>
      </c>
    </row>
    <row r="354" spans="1:1">
      <c r="A354">
        <v>2397</v>
      </c>
    </row>
    <row r="355" spans="1:1">
      <c r="A355">
        <v>2399</v>
      </c>
    </row>
    <row r="356" spans="1:1">
      <c r="A356">
        <v>2401</v>
      </c>
    </row>
    <row r="357" spans="1:1">
      <c r="A357">
        <v>2402</v>
      </c>
    </row>
    <row r="358" spans="1:1">
      <c r="A358">
        <v>2404</v>
      </c>
    </row>
    <row r="359" spans="1:1">
      <c r="A359">
        <v>2405</v>
      </c>
    </row>
    <row r="360" spans="1:1">
      <c r="A360">
        <v>2406</v>
      </c>
    </row>
    <row r="361" spans="1:1">
      <c r="A361">
        <v>2408</v>
      </c>
    </row>
    <row r="362" spans="1:1">
      <c r="A362">
        <v>2409</v>
      </c>
    </row>
    <row r="363" spans="1:1">
      <c r="A363">
        <v>2412</v>
      </c>
    </row>
    <row r="364" spans="1:1">
      <c r="A364">
        <v>2413</v>
      </c>
    </row>
    <row r="365" spans="1:1">
      <c r="A365">
        <v>2414</v>
      </c>
    </row>
    <row r="366" spans="1:1">
      <c r="A366">
        <v>2415</v>
      </c>
    </row>
    <row r="367" spans="1:1">
      <c r="A367">
        <v>2417</v>
      </c>
    </row>
    <row r="368" spans="1:1">
      <c r="A368">
        <v>2419</v>
      </c>
    </row>
    <row r="369" spans="1:1">
      <c r="A369">
        <v>2420</v>
      </c>
    </row>
    <row r="370" spans="1:1">
      <c r="A370">
        <v>2421</v>
      </c>
    </row>
    <row r="371" spans="1:1">
      <c r="A371">
        <v>2423</v>
      </c>
    </row>
    <row r="372" spans="1:1">
      <c r="A372">
        <v>2424</v>
      </c>
    </row>
    <row r="373" spans="1:1">
      <c r="A373">
        <v>2425</v>
      </c>
    </row>
    <row r="374" spans="1:1">
      <c r="A374">
        <v>2426</v>
      </c>
    </row>
    <row r="375" spans="1:1">
      <c r="A375">
        <v>2427</v>
      </c>
    </row>
    <row r="376" spans="1:1">
      <c r="A376">
        <v>2428</v>
      </c>
    </row>
    <row r="377" spans="1:1">
      <c r="A377">
        <v>2429</v>
      </c>
    </row>
    <row r="378" spans="1:1">
      <c r="A378">
        <v>2430</v>
      </c>
    </row>
    <row r="379" spans="1:1">
      <c r="A379">
        <v>2431</v>
      </c>
    </row>
    <row r="380" spans="1:1">
      <c r="A380">
        <v>2433</v>
      </c>
    </row>
    <row r="381" spans="1:1">
      <c r="A381">
        <v>2434</v>
      </c>
    </row>
    <row r="382" spans="1:1">
      <c r="A382">
        <v>2436</v>
      </c>
    </row>
    <row r="383" spans="1:1">
      <c r="A383">
        <v>2437</v>
      </c>
    </row>
    <row r="384" spans="1:1">
      <c r="A384">
        <v>2438</v>
      </c>
    </row>
    <row r="385" spans="1:1">
      <c r="A385">
        <v>2439</v>
      </c>
    </row>
    <row r="386" spans="1:1">
      <c r="A386">
        <v>2440</v>
      </c>
    </row>
    <row r="387" spans="1:1">
      <c r="A387">
        <v>2441</v>
      </c>
    </row>
    <row r="388" spans="1:1">
      <c r="A388">
        <v>2442</v>
      </c>
    </row>
    <row r="389" spans="1:1">
      <c r="A389">
        <v>2443</v>
      </c>
    </row>
    <row r="390" spans="1:1">
      <c r="A390">
        <v>2444</v>
      </c>
    </row>
    <row r="391" spans="1:1">
      <c r="A391">
        <v>2448</v>
      </c>
    </row>
    <row r="392" spans="1:1">
      <c r="A392">
        <v>2449</v>
      </c>
    </row>
    <row r="393" spans="1:1">
      <c r="A393">
        <v>2450</v>
      </c>
    </row>
    <row r="394" spans="1:1">
      <c r="A394">
        <v>2451</v>
      </c>
    </row>
    <row r="395" spans="1:1">
      <c r="A395">
        <v>2453</v>
      </c>
    </row>
    <row r="396" spans="1:1">
      <c r="A396">
        <v>2454</v>
      </c>
    </row>
    <row r="397" spans="1:1">
      <c r="A397">
        <v>2455</v>
      </c>
    </row>
    <row r="398" spans="1:1">
      <c r="A398">
        <v>2456</v>
      </c>
    </row>
    <row r="399" spans="1:1">
      <c r="A399">
        <v>2457</v>
      </c>
    </row>
    <row r="400" spans="1:1">
      <c r="A400">
        <v>2458</v>
      </c>
    </row>
    <row r="401" spans="1:1">
      <c r="A401">
        <v>2459</v>
      </c>
    </row>
    <row r="402" spans="1:1">
      <c r="A402">
        <v>2460</v>
      </c>
    </row>
    <row r="403" spans="1:1">
      <c r="A403">
        <v>2461</v>
      </c>
    </row>
    <row r="404" spans="1:1">
      <c r="A404">
        <v>2462</v>
      </c>
    </row>
    <row r="405" spans="1:1">
      <c r="A405">
        <v>2464</v>
      </c>
    </row>
    <row r="406" spans="1:1">
      <c r="A406">
        <v>2465</v>
      </c>
    </row>
    <row r="407" spans="1:1">
      <c r="A407">
        <v>2466</v>
      </c>
    </row>
    <row r="408" spans="1:1">
      <c r="A408">
        <v>2467</v>
      </c>
    </row>
    <row r="409" spans="1:1">
      <c r="A409">
        <v>2468</v>
      </c>
    </row>
    <row r="410" spans="1:1">
      <c r="A410">
        <v>2471</v>
      </c>
    </row>
    <row r="411" spans="1:1">
      <c r="A411">
        <v>2472</v>
      </c>
    </row>
    <row r="412" spans="1:1">
      <c r="A412">
        <v>2474</v>
      </c>
    </row>
    <row r="413" spans="1:1">
      <c r="A413">
        <v>2475</v>
      </c>
    </row>
    <row r="414" spans="1:1">
      <c r="A414">
        <v>2476</v>
      </c>
    </row>
    <row r="415" spans="1:1">
      <c r="A415">
        <v>2477</v>
      </c>
    </row>
    <row r="416" spans="1:1">
      <c r="A416">
        <v>2478</v>
      </c>
    </row>
    <row r="417" spans="1:1">
      <c r="A417">
        <v>2480</v>
      </c>
    </row>
    <row r="418" spans="1:1">
      <c r="A418">
        <v>2481</v>
      </c>
    </row>
    <row r="419" spans="1:1">
      <c r="A419">
        <v>2482</v>
      </c>
    </row>
    <row r="420" spans="1:1">
      <c r="A420">
        <v>2483</v>
      </c>
    </row>
    <row r="421" spans="1:1">
      <c r="A421">
        <v>2484</v>
      </c>
    </row>
    <row r="422" spans="1:1">
      <c r="A422">
        <v>2485</v>
      </c>
    </row>
    <row r="423" spans="1:1">
      <c r="A423">
        <v>2486</v>
      </c>
    </row>
    <row r="424" spans="1:1">
      <c r="A424">
        <v>2488</v>
      </c>
    </row>
    <row r="425" spans="1:1">
      <c r="A425">
        <v>2489</v>
      </c>
    </row>
    <row r="426" spans="1:1">
      <c r="A426">
        <v>2491</v>
      </c>
    </row>
    <row r="427" spans="1:1">
      <c r="A427">
        <v>2492</v>
      </c>
    </row>
    <row r="428" spans="1:1">
      <c r="A428">
        <v>2493</v>
      </c>
    </row>
    <row r="429" spans="1:1">
      <c r="A429">
        <v>2495</v>
      </c>
    </row>
    <row r="430" spans="1:1">
      <c r="A430">
        <v>2496</v>
      </c>
    </row>
    <row r="431" spans="1:1">
      <c r="A431">
        <v>2497</v>
      </c>
    </row>
    <row r="432" spans="1:1">
      <c r="A432">
        <v>2498</v>
      </c>
    </row>
    <row r="433" spans="1:1">
      <c r="A433">
        <v>2499</v>
      </c>
    </row>
    <row r="434" spans="1:1">
      <c r="A434">
        <v>2501</v>
      </c>
    </row>
    <row r="435" spans="1:1">
      <c r="A435">
        <v>2504</v>
      </c>
    </row>
    <row r="436" spans="1:1">
      <c r="A436">
        <v>2505</v>
      </c>
    </row>
    <row r="437" spans="1:1">
      <c r="A437">
        <v>2506</v>
      </c>
    </row>
    <row r="438" spans="1:1">
      <c r="A438">
        <v>2509</v>
      </c>
    </row>
    <row r="439" spans="1:1">
      <c r="A439">
        <v>2511</v>
      </c>
    </row>
    <row r="440" spans="1:1">
      <c r="A440">
        <v>2514</v>
      </c>
    </row>
    <row r="441" spans="1:1">
      <c r="A441">
        <v>2515</v>
      </c>
    </row>
    <row r="442" spans="1:1">
      <c r="A442">
        <v>2516</v>
      </c>
    </row>
    <row r="443" spans="1:1">
      <c r="A443">
        <v>2520</v>
      </c>
    </row>
    <row r="444" spans="1:1">
      <c r="A444">
        <v>2524</v>
      </c>
    </row>
    <row r="445" spans="1:1">
      <c r="A445">
        <v>2527</v>
      </c>
    </row>
    <row r="446" spans="1:1">
      <c r="A446">
        <v>2528</v>
      </c>
    </row>
    <row r="447" spans="1:1">
      <c r="A447">
        <v>2530</v>
      </c>
    </row>
    <row r="448" spans="1:1">
      <c r="A448">
        <v>2534</v>
      </c>
    </row>
    <row r="449" spans="1:1">
      <c r="A449">
        <v>2535</v>
      </c>
    </row>
    <row r="450" spans="1:1">
      <c r="A450">
        <v>2536</v>
      </c>
    </row>
    <row r="451" spans="1:1">
      <c r="A451">
        <v>2537</v>
      </c>
    </row>
    <row r="452" spans="1:1">
      <c r="A452">
        <v>2538</v>
      </c>
    </row>
    <row r="453" spans="1:1">
      <c r="A453">
        <v>2539</v>
      </c>
    </row>
    <row r="454" spans="1:1">
      <c r="A454">
        <v>2540</v>
      </c>
    </row>
    <row r="455" spans="1:1">
      <c r="A455">
        <v>2542</v>
      </c>
    </row>
    <row r="456" spans="1:1">
      <c r="A456">
        <v>2543</v>
      </c>
    </row>
    <row r="457" spans="1:1">
      <c r="A457">
        <v>2545</v>
      </c>
    </row>
    <row r="458" spans="1:1">
      <c r="A458">
        <v>2546</v>
      </c>
    </row>
    <row r="459" spans="1:1">
      <c r="A459">
        <v>2547</v>
      </c>
    </row>
    <row r="460" spans="1:1">
      <c r="A460">
        <v>2548</v>
      </c>
    </row>
    <row r="461" spans="1:1">
      <c r="A461">
        <v>2596</v>
      </c>
    </row>
    <row r="462" spans="1:1">
      <c r="A462">
        <v>2597</v>
      </c>
    </row>
    <row r="463" spans="1:1">
      <c r="A463">
        <v>2601</v>
      </c>
    </row>
    <row r="464" spans="1:1">
      <c r="A464">
        <v>2603</v>
      </c>
    </row>
    <row r="465" spans="1:1">
      <c r="A465">
        <v>2605</v>
      </c>
    </row>
    <row r="466" spans="1:1">
      <c r="A466">
        <v>2606</v>
      </c>
    </row>
    <row r="467" spans="1:1">
      <c r="A467">
        <v>2607</v>
      </c>
    </row>
    <row r="468" spans="1:1">
      <c r="A468">
        <v>2608</v>
      </c>
    </row>
    <row r="469" spans="1:1">
      <c r="A469">
        <v>2609</v>
      </c>
    </row>
    <row r="470" spans="1:1">
      <c r="A470">
        <v>2610</v>
      </c>
    </row>
    <row r="471" spans="1:1">
      <c r="A471">
        <v>2611</v>
      </c>
    </row>
    <row r="472" spans="1:1">
      <c r="A472">
        <v>2612</v>
      </c>
    </row>
    <row r="473" spans="1:1">
      <c r="A473">
        <v>2613</v>
      </c>
    </row>
    <row r="474" spans="1:1">
      <c r="A474">
        <v>2614</v>
      </c>
    </row>
    <row r="475" spans="1:1">
      <c r="A475">
        <v>2615</v>
      </c>
    </row>
    <row r="476" spans="1:1">
      <c r="A476">
        <v>2616</v>
      </c>
    </row>
    <row r="477" spans="1:1">
      <c r="A477">
        <v>2617</v>
      </c>
    </row>
    <row r="478" spans="1:1">
      <c r="A478">
        <v>2618</v>
      </c>
    </row>
    <row r="479" spans="1:1">
      <c r="A479">
        <v>2634</v>
      </c>
    </row>
    <row r="480" spans="1:1">
      <c r="A480">
        <v>2636</v>
      </c>
    </row>
    <row r="481" spans="1:1">
      <c r="A481">
        <v>2637</v>
      </c>
    </row>
    <row r="482" spans="1:1">
      <c r="A482">
        <v>2640</v>
      </c>
    </row>
    <row r="483" spans="1:1">
      <c r="A483">
        <v>2641</v>
      </c>
    </row>
    <row r="484" spans="1:1">
      <c r="A484">
        <v>2642</v>
      </c>
    </row>
    <row r="485" spans="1:1">
      <c r="A485">
        <v>2701</v>
      </c>
    </row>
    <row r="486" spans="1:1">
      <c r="A486">
        <v>2702</v>
      </c>
    </row>
    <row r="487" spans="1:1">
      <c r="A487">
        <v>2704</v>
      </c>
    </row>
    <row r="488" spans="1:1">
      <c r="A488">
        <v>2705</v>
      </c>
    </row>
    <row r="489" spans="1:1">
      <c r="A489">
        <v>2706</v>
      </c>
    </row>
    <row r="490" spans="1:1">
      <c r="A490">
        <v>2707</v>
      </c>
    </row>
    <row r="491" spans="1:1">
      <c r="A491">
        <v>2712</v>
      </c>
    </row>
    <row r="492" spans="1:1">
      <c r="A492">
        <v>2718</v>
      </c>
    </row>
    <row r="493" spans="1:1">
      <c r="A493">
        <v>2719</v>
      </c>
    </row>
    <row r="494" spans="1:1">
      <c r="A494">
        <v>2722</v>
      </c>
    </row>
    <row r="495" spans="1:1">
      <c r="A495">
        <v>2723</v>
      </c>
    </row>
    <row r="496" spans="1:1">
      <c r="A496">
        <v>2724</v>
      </c>
    </row>
    <row r="497" spans="1:1">
      <c r="A497">
        <v>2726</v>
      </c>
    </row>
    <row r="498" spans="1:1">
      <c r="A498">
        <v>2727</v>
      </c>
    </row>
    <row r="499" spans="1:1">
      <c r="A499">
        <v>2729</v>
      </c>
    </row>
    <row r="500" spans="1:1">
      <c r="A500">
        <v>2731</v>
      </c>
    </row>
    <row r="501" spans="1:1">
      <c r="A501">
        <v>2732</v>
      </c>
    </row>
    <row r="502" spans="1:1">
      <c r="A502">
        <v>2734</v>
      </c>
    </row>
    <row r="503" spans="1:1">
      <c r="A503">
        <v>2801</v>
      </c>
    </row>
    <row r="504" spans="1:1">
      <c r="A504">
        <v>2809</v>
      </c>
    </row>
    <row r="505" spans="1:1">
      <c r="A505">
        <v>2812</v>
      </c>
    </row>
    <row r="506" spans="1:1">
      <c r="A506">
        <v>2816</v>
      </c>
    </row>
    <row r="507" spans="1:1">
      <c r="A507">
        <v>2820</v>
      </c>
    </row>
    <row r="508" spans="1:1">
      <c r="A508">
        <v>2823</v>
      </c>
    </row>
    <row r="509" spans="1:1">
      <c r="A509">
        <v>2832</v>
      </c>
    </row>
    <row r="510" spans="1:1">
      <c r="A510">
        <v>2833</v>
      </c>
    </row>
    <row r="511" spans="1:1">
      <c r="A511">
        <v>2834</v>
      </c>
    </row>
    <row r="512" spans="1:1">
      <c r="A512">
        <v>2836</v>
      </c>
    </row>
    <row r="513" spans="1:1">
      <c r="A513">
        <v>2838</v>
      </c>
    </row>
    <row r="514" spans="1:1">
      <c r="A514">
        <v>2841</v>
      </c>
    </row>
    <row r="515" spans="1:1">
      <c r="A515">
        <v>2845</v>
      </c>
    </row>
    <row r="516" spans="1:1">
      <c r="A516">
        <v>2847</v>
      </c>
    </row>
    <row r="517" spans="1:1">
      <c r="A517">
        <v>2849</v>
      </c>
    </row>
    <row r="518" spans="1:1">
      <c r="A518">
        <v>2850</v>
      </c>
    </row>
    <row r="519" spans="1:1">
      <c r="A519">
        <v>2851</v>
      </c>
    </row>
    <row r="520" spans="1:1">
      <c r="A520">
        <v>2852</v>
      </c>
    </row>
    <row r="521" spans="1:1">
      <c r="A521">
        <v>2855</v>
      </c>
    </row>
    <row r="522" spans="1:1">
      <c r="A522">
        <v>2856</v>
      </c>
    </row>
    <row r="523" spans="1:1">
      <c r="A523">
        <v>2867</v>
      </c>
    </row>
    <row r="524" spans="1:1">
      <c r="A524">
        <v>2880</v>
      </c>
    </row>
    <row r="525" spans="1:1">
      <c r="A525">
        <v>2881</v>
      </c>
    </row>
    <row r="526" spans="1:1">
      <c r="A526">
        <v>2882</v>
      </c>
    </row>
    <row r="527" spans="1:1">
      <c r="A527">
        <v>2883</v>
      </c>
    </row>
    <row r="528" spans="1:1">
      <c r="A528">
        <v>2884</v>
      </c>
    </row>
    <row r="529" spans="1:1">
      <c r="A529">
        <v>2885</v>
      </c>
    </row>
    <row r="530" spans="1:1">
      <c r="A530">
        <v>2886</v>
      </c>
    </row>
    <row r="531" spans="1:1">
      <c r="A531">
        <v>2887</v>
      </c>
    </row>
    <row r="532" spans="1:1">
      <c r="A532">
        <v>2888</v>
      </c>
    </row>
    <row r="533" spans="1:1">
      <c r="A533">
        <v>2889</v>
      </c>
    </row>
    <row r="534" spans="1:1">
      <c r="A534">
        <v>2890</v>
      </c>
    </row>
    <row r="535" spans="1:1">
      <c r="A535">
        <v>2891</v>
      </c>
    </row>
    <row r="536" spans="1:1">
      <c r="A536">
        <v>2892</v>
      </c>
    </row>
    <row r="537" spans="1:1">
      <c r="A537">
        <v>2901</v>
      </c>
    </row>
    <row r="538" spans="1:1">
      <c r="A538">
        <v>2903</v>
      </c>
    </row>
    <row r="539" spans="1:1">
      <c r="A539">
        <v>2904</v>
      </c>
    </row>
    <row r="540" spans="1:1">
      <c r="A540">
        <v>2905</v>
      </c>
    </row>
    <row r="541" spans="1:1">
      <c r="A541">
        <v>2906</v>
      </c>
    </row>
    <row r="542" spans="1:1">
      <c r="A542">
        <v>2908</v>
      </c>
    </row>
    <row r="543" spans="1:1">
      <c r="A543">
        <v>2910</v>
      </c>
    </row>
    <row r="544" spans="1:1">
      <c r="A544">
        <v>2911</v>
      </c>
    </row>
    <row r="545" spans="1:1">
      <c r="A545">
        <v>2912</v>
      </c>
    </row>
    <row r="546" spans="1:1">
      <c r="A546">
        <v>2913</v>
      </c>
    </row>
    <row r="547" spans="1:1">
      <c r="A547">
        <v>2915</v>
      </c>
    </row>
    <row r="548" spans="1:1">
      <c r="A548">
        <v>2916</v>
      </c>
    </row>
    <row r="549" spans="1:1">
      <c r="A549">
        <v>2923</v>
      </c>
    </row>
    <row r="550" spans="1:1">
      <c r="A550">
        <v>2924</v>
      </c>
    </row>
    <row r="551" spans="1:1">
      <c r="A551">
        <v>2926</v>
      </c>
    </row>
    <row r="552" spans="1:1">
      <c r="A552">
        <v>2929</v>
      </c>
    </row>
    <row r="553" spans="1:1">
      <c r="A553">
        <v>3002</v>
      </c>
    </row>
    <row r="554" spans="1:1">
      <c r="A554">
        <v>3003</v>
      </c>
    </row>
    <row r="555" spans="1:1">
      <c r="A555">
        <v>3004</v>
      </c>
    </row>
    <row r="556" spans="1:1">
      <c r="A556">
        <v>3005</v>
      </c>
    </row>
    <row r="557" spans="1:1">
      <c r="A557">
        <v>3006</v>
      </c>
    </row>
    <row r="558" spans="1:1">
      <c r="A558">
        <v>3008</v>
      </c>
    </row>
    <row r="559" spans="1:1">
      <c r="A559">
        <v>3010</v>
      </c>
    </row>
    <row r="560" spans="1:1">
      <c r="A560">
        <v>3011</v>
      </c>
    </row>
    <row r="561" spans="1:1">
      <c r="A561">
        <v>3013</v>
      </c>
    </row>
    <row r="562" spans="1:1">
      <c r="A562">
        <v>3014</v>
      </c>
    </row>
    <row r="563" spans="1:1">
      <c r="A563">
        <v>3015</v>
      </c>
    </row>
    <row r="564" spans="1:1">
      <c r="A564">
        <v>3016</v>
      </c>
    </row>
    <row r="565" spans="1:1">
      <c r="A565">
        <v>3017</v>
      </c>
    </row>
    <row r="566" spans="1:1">
      <c r="A566">
        <v>3018</v>
      </c>
    </row>
    <row r="567" spans="1:1">
      <c r="A567">
        <v>3019</v>
      </c>
    </row>
    <row r="568" spans="1:1">
      <c r="A568">
        <v>3021</v>
      </c>
    </row>
    <row r="569" spans="1:1">
      <c r="A569">
        <v>3022</v>
      </c>
    </row>
    <row r="570" spans="1:1">
      <c r="A570">
        <v>3023</v>
      </c>
    </row>
    <row r="571" spans="1:1">
      <c r="A571">
        <v>3024</v>
      </c>
    </row>
    <row r="572" spans="1:1">
      <c r="A572">
        <v>3025</v>
      </c>
    </row>
    <row r="573" spans="1:1">
      <c r="A573">
        <v>3026</v>
      </c>
    </row>
    <row r="574" spans="1:1">
      <c r="A574">
        <v>3027</v>
      </c>
    </row>
    <row r="575" spans="1:1">
      <c r="A575">
        <v>3028</v>
      </c>
    </row>
    <row r="576" spans="1:1">
      <c r="A576">
        <v>3029</v>
      </c>
    </row>
    <row r="577" spans="1:1">
      <c r="A577">
        <v>3030</v>
      </c>
    </row>
    <row r="578" spans="1:1">
      <c r="A578">
        <v>3031</v>
      </c>
    </row>
    <row r="579" spans="1:1">
      <c r="A579">
        <v>3032</v>
      </c>
    </row>
    <row r="580" spans="1:1">
      <c r="A580">
        <v>3033</v>
      </c>
    </row>
    <row r="581" spans="1:1">
      <c r="A581">
        <v>3034</v>
      </c>
    </row>
    <row r="582" spans="1:1">
      <c r="A582">
        <v>3035</v>
      </c>
    </row>
    <row r="583" spans="1:1">
      <c r="A583">
        <v>3036</v>
      </c>
    </row>
    <row r="584" spans="1:1">
      <c r="A584">
        <v>3037</v>
      </c>
    </row>
    <row r="585" spans="1:1">
      <c r="A585">
        <v>3038</v>
      </c>
    </row>
    <row r="586" spans="1:1">
      <c r="A586">
        <v>3040</v>
      </c>
    </row>
    <row r="587" spans="1:1">
      <c r="A587">
        <v>3041</v>
      </c>
    </row>
    <row r="588" spans="1:1">
      <c r="A588">
        <v>3042</v>
      </c>
    </row>
    <row r="589" spans="1:1">
      <c r="A589">
        <v>3043</v>
      </c>
    </row>
    <row r="590" spans="1:1">
      <c r="A590">
        <v>3044</v>
      </c>
    </row>
    <row r="591" spans="1:1">
      <c r="A591">
        <v>3045</v>
      </c>
    </row>
    <row r="592" spans="1:1">
      <c r="A592">
        <v>3046</v>
      </c>
    </row>
    <row r="593" spans="1:1">
      <c r="A593">
        <v>3047</v>
      </c>
    </row>
    <row r="594" spans="1:1">
      <c r="A594">
        <v>3048</v>
      </c>
    </row>
    <row r="595" spans="1:1">
      <c r="A595">
        <v>3049</v>
      </c>
    </row>
    <row r="596" spans="1:1">
      <c r="A596">
        <v>3050</v>
      </c>
    </row>
    <row r="597" spans="1:1">
      <c r="A597">
        <v>3051</v>
      </c>
    </row>
    <row r="598" spans="1:1">
      <c r="A598">
        <v>3052</v>
      </c>
    </row>
    <row r="599" spans="1:1">
      <c r="A599">
        <v>3054</v>
      </c>
    </row>
    <row r="600" spans="1:1">
      <c r="A600">
        <v>3055</v>
      </c>
    </row>
    <row r="601" spans="1:1">
      <c r="A601">
        <v>3056</v>
      </c>
    </row>
    <row r="602" spans="1:1">
      <c r="A602">
        <v>3057</v>
      </c>
    </row>
    <row r="603" spans="1:1">
      <c r="A603">
        <v>3058</v>
      </c>
    </row>
    <row r="604" spans="1:1">
      <c r="A604">
        <v>3059</v>
      </c>
    </row>
    <row r="605" spans="1:1">
      <c r="A605">
        <v>3060</v>
      </c>
    </row>
    <row r="606" spans="1:1">
      <c r="A606">
        <v>3062</v>
      </c>
    </row>
    <row r="607" spans="1:1">
      <c r="A607">
        <v>3064</v>
      </c>
    </row>
    <row r="608" spans="1:1">
      <c r="A608">
        <v>3066</v>
      </c>
    </row>
    <row r="609" spans="1:1">
      <c r="A609">
        <v>3067</v>
      </c>
    </row>
    <row r="610" spans="1:1">
      <c r="A610">
        <v>3068</v>
      </c>
    </row>
    <row r="611" spans="1:1">
      <c r="A611">
        <v>3071</v>
      </c>
    </row>
    <row r="612" spans="1:1">
      <c r="A612">
        <v>3073</v>
      </c>
    </row>
    <row r="613" spans="1:1">
      <c r="A613">
        <v>3078</v>
      </c>
    </row>
    <row r="614" spans="1:1">
      <c r="A614">
        <v>3083</v>
      </c>
    </row>
    <row r="615" spans="1:1">
      <c r="A615">
        <v>3085</v>
      </c>
    </row>
    <row r="616" spans="1:1">
      <c r="A616">
        <v>3086</v>
      </c>
    </row>
    <row r="617" spans="1:1">
      <c r="A617">
        <v>3088</v>
      </c>
    </row>
    <row r="618" spans="1:1">
      <c r="A618">
        <v>3089</v>
      </c>
    </row>
    <row r="619" spans="1:1">
      <c r="A619">
        <v>3090</v>
      </c>
    </row>
    <row r="620" spans="1:1">
      <c r="A620">
        <v>3092</v>
      </c>
    </row>
    <row r="621" spans="1:1">
      <c r="A621">
        <v>3093</v>
      </c>
    </row>
    <row r="622" spans="1:1">
      <c r="A622">
        <v>3094</v>
      </c>
    </row>
    <row r="623" spans="1:1">
      <c r="A623">
        <v>3095</v>
      </c>
    </row>
    <row r="624" spans="1:1">
      <c r="A624">
        <v>3105</v>
      </c>
    </row>
    <row r="625" spans="1:1">
      <c r="A625">
        <v>3114</v>
      </c>
    </row>
    <row r="626" spans="1:1">
      <c r="A626">
        <v>3115</v>
      </c>
    </row>
    <row r="627" spans="1:1">
      <c r="A627">
        <v>3118</v>
      </c>
    </row>
    <row r="628" spans="1:1">
      <c r="A628">
        <v>3122</v>
      </c>
    </row>
    <row r="629" spans="1:1">
      <c r="A629">
        <v>3128</v>
      </c>
    </row>
    <row r="630" spans="1:1">
      <c r="A630">
        <v>3130</v>
      </c>
    </row>
    <row r="631" spans="1:1">
      <c r="A631">
        <v>3131</v>
      </c>
    </row>
    <row r="632" spans="1:1">
      <c r="A632">
        <v>3141</v>
      </c>
    </row>
    <row r="633" spans="1:1">
      <c r="A633">
        <v>3144</v>
      </c>
    </row>
    <row r="634" spans="1:1">
      <c r="A634">
        <v>3149</v>
      </c>
    </row>
    <row r="635" spans="1:1">
      <c r="A635">
        <v>3152</v>
      </c>
    </row>
    <row r="636" spans="1:1">
      <c r="A636">
        <v>3162</v>
      </c>
    </row>
    <row r="637" spans="1:1">
      <c r="A637">
        <v>3163</v>
      </c>
    </row>
    <row r="638" spans="1:1">
      <c r="A638">
        <v>3164</v>
      </c>
    </row>
    <row r="639" spans="1:1">
      <c r="A639">
        <v>3167</v>
      </c>
    </row>
    <row r="640" spans="1:1">
      <c r="A640">
        <v>3169</v>
      </c>
    </row>
    <row r="641" spans="1:1">
      <c r="A641">
        <v>3171</v>
      </c>
    </row>
    <row r="642" spans="1:1">
      <c r="A642">
        <v>3176</v>
      </c>
    </row>
    <row r="643" spans="1:1">
      <c r="A643">
        <v>3188</v>
      </c>
    </row>
    <row r="644" spans="1:1">
      <c r="A644">
        <v>3189</v>
      </c>
    </row>
    <row r="645" spans="1:1">
      <c r="A645">
        <v>3191</v>
      </c>
    </row>
    <row r="646" spans="1:1">
      <c r="A646">
        <v>3202</v>
      </c>
    </row>
    <row r="647" spans="1:1">
      <c r="A647">
        <v>3205</v>
      </c>
    </row>
    <row r="648" spans="1:1">
      <c r="A648">
        <v>3206</v>
      </c>
    </row>
    <row r="649" spans="1:1">
      <c r="A649">
        <v>3207</v>
      </c>
    </row>
    <row r="650" spans="1:1">
      <c r="A650">
        <v>3209</v>
      </c>
    </row>
    <row r="651" spans="1:1">
      <c r="A651">
        <v>3211</v>
      </c>
    </row>
    <row r="652" spans="1:1">
      <c r="A652">
        <v>3213</v>
      </c>
    </row>
    <row r="653" spans="1:1">
      <c r="A653">
        <v>3217</v>
      </c>
    </row>
    <row r="654" spans="1:1">
      <c r="A654">
        <v>3218</v>
      </c>
    </row>
    <row r="655" spans="1:1">
      <c r="A655">
        <v>3219</v>
      </c>
    </row>
    <row r="656" spans="1:1">
      <c r="A656">
        <v>3221</v>
      </c>
    </row>
    <row r="657" spans="1:1">
      <c r="A657">
        <v>3224</v>
      </c>
    </row>
    <row r="658" spans="1:1">
      <c r="A658">
        <v>3226</v>
      </c>
    </row>
    <row r="659" spans="1:1">
      <c r="A659">
        <v>3227</v>
      </c>
    </row>
    <row r="660" spans="1:1">
      <c r="A660">
        <v>3228</v>
      </c>
    </row>
    <row r="661" spans="1:1">
      <c r="A661">
        <v>3229</v>
      </c>
    </row>
    <row r="662" spans="1:1">
      <c r="A662">
        <v>3230</v>
      </c>
    </row>
    <row r="663" spans="1:1">
      <c r="A663">
        <v>3231</v>
      </c>
    </row>
    <row r="664" spans="1:1">
      <c r="A664">
        <v>3232</v>
      </c>
    </row>
    <row r="665" spans="1:1">
      <c r="A665">
        <v>3234</v>
      </c>
    </row>
    <row r="666" spans="1:1">
      <c r="A666">
        <v>3236</v>
      </c>
    </row>
    <row r="667" spans="1:1">
      <c r="A667">
        <v>3252</v>
      </c>
    </row>
    <row r="668" spans="1:1">
      <c r="A668">
        <v>3257</v>
      </c>
    </row>
    <row r="669" spans="1:1">
      <c r="A669">
        <v>3259</v>
      </c>
    </row>
    <row r="670" spans="1:1">
      <c r="A670">
        <v>3260</v>
      </c>
    </row>
    <row r="671" spans="1:1">
      <c r="A671">
        <v>3264</v>
      </c>
    </row>
    <row r="672" spans="1:1">
      <c r="A672">
        <v>3265</v>
      </c>
    </row>
    <row r="673" spans="1:1">
      <c r="A673">
        <v>3266</v>
      </c>
    </row>
    <row r="674" spans="1:1">
      <c r="A674">
        <v>3268</v>
      </c>
    </row>
    <row r="675" spans="1:1">
      <c r="A675">
        <v>3272</v>
      </c>
    </row>
    <row r="676" spans="1:1">
      <c r="A676">
        <v>3276</v>
      </c>
    </row>
    <row r="677" spans="1:1">
      <c r="A677">
        <v>3284</v>
      </c>
    </row>
    <row r="678" spans="1:1">
      <c r="A678">
        <v>3285</v>
      </c>
    </row>
    <row r="679" spans="1:1">
      <c r="A679">
        <v>3287</v>
      </c>
    </row>
    <row r="680" spans="1:1">
      <c r="A680">
        <v>3288</v>
      </c>
    </row>
    <row r="681" spans="1:1">
      <c r="A681">
        <v>3289</v>
      </c>
    </row>
    <row r="682" spans="1:1">
      <c r="A682">
        <v>3290</v>
      </c>
    </row>
    <row r="683" spans="1:1">
      <c r="A683">
        <v>3291</v>
      </c>
    </row>
    <row r="684" spans="1:1">
      <c r="A684">
        <v>3293</v>
      </c>
    </row>
    <row r="685" spans="1:1">
      <c r="A685">
        <v>3294</v>
      </c>
    </row>
    <row r="686" spans="1:1">
      <c r="A686">
        <v>3296</v>
      </c>
    </row>
    <row r="687" spans="1:1">
      <c r="A687">
        <v>3297</v>
      </c>
    </row>
    <row r="688" spans="1:1">
      <c r="A688">
        <v>3299</v>
      </c>
    </row>
    <row r="689" spans="1:1">
      <c r="A689">
        <v>3303</v>
      </c>
    </row>
    <row r="690" spans="1:1">
      <c r="A690">
        <v>3305</v>
      </c>
    </row>
    <row r="691" spans="1:1">
      <c r="A691">
        <v>3306</v>
      </c>
    </row>
    <row r="692" spans="1:1">
      <c r="A692">
        <v>3308</v>
      </c>
    </row>
    <row r="693" spans="1:1">
      <c r="A693">
        <v>3310</v>
      </c>
    </row>
    <row r="694" spans="1:1">
      <c r="A694">
        <v>3311</v>
      </c>
    </row>
    <row r="695" spans="1:1">
      <c r="A695">
        <v>3312</v>
      </c>
    </row>
    <row r="696" spans="1:1">
      <c r="A696">
        <v>3313</v>
      </c>
    </row>
    <row r="697" spans="1:1">
      <c r="A697">
        <v>3315</v>
      </c>
    </row>
    <row r="698" spans="1:1">
      <c r="A698">
        <v>3317</v>
      </c>
    </row>
    <row r="699" spans="1:1">
      <c r="A699">
        <v>3322</v>
      </c>
    </row>
    <row r="700" spans="1:1">
      <c r="A700">
        <v>3323</v>
      </c>
    </row>
    <row r="701" spans="1:1">
      <c r="A701">
        <v>3324</v>
      </c>
    </row>
    <row r="702" spans="1:1">
      <c r="A702">
        <v>3325</v>
      </c>
    </row>
    <row r="703" spans="1:1">
      <c r="A703">
        <v>3332</v>
      </c>
    </row>
    <row r="704" spans="1:1">
      <c r="A704">
        <v>3338</v>
      </c>
    </row>
    <row r="705" spans="1:1">
      <c r="A705">
        <v>3339</v>
      </c>
    </row>
    <row r="706" spans="1:1">
      <c r="A706">
        <v>3354</v>
      </c>
    </row>
    <row r="707" spans="1:1">
      <c r="A707">
        <v>3356</v>
      </c>
    </row>
    <row r="708" spans="1:1">
      <c r="A708">
        <v>3360</v>
      </c>
    </row>
    <row r="709" spans="1:1">
      <c r="A709">
        <v>3362</v>
      </c>
    </row>
    <row r="710" spans="1:1">
      <c r="A710">
        <v>3363</v>
      </c>
    </row>
    <row r="711" spans="1:1">
      <c r="A711">
        <v>3372</v>
      </c>
    </row>
    <row r="712" spans="1:1">
      <c r="A712">
        <v>3373</v>
      </c>
    </row>
    <row r="713" spans="1:1">
      <c r="A713">
        <v>3374</v>
      </c>
    </row>
    <row r="714" spans="1:1">
      <c r="A714">
        <v>3376</v>
      </c>
    </row>
    <row r="715" spans="1:1">
      <c r="A715">
        <v>3379</v>
      </c>
    </row>
    <row r="716" spans="1:1">
      <c r="A716">
        <v>3380</v>
      </c>
    </row>
    <row r="717" spans="1:1">
      <c r="A717">
        <v>3383</v>
      </c>
    </row>
    <row r="718" spans="1:1">
      <c r="A718">
        <v>3388</v>
      </c>
    </row>
    <row r="719" spans="1:1">
      <c r="A719">
        <v>3390</v>
      </c>
    </row>
    <row r="720" spans="1:1">
      <c r="A720">
        <v>3402</v>
      </c>
    </row>
    <row r="721" spans="1:1">
      <c r="A721">
        <v>3406</v>
      </c>
    </row>
    <row r="722" spans="1:1">
      <c r="A722">
        <v>3416</v>
      </c>
    </row>
    <row r="723" spans="1:1">
      <c r="A723">
        <v>3419</v>
      </c>
    </row>
    <row r="724" spans="1:1">
      <c r="A724">
        <v>3428</v>
      </c>
    </row>
    <row r="725" spans="1:1">
      <c r="A725">
        <v>3431</v>
      </c>
    </row>
    <row r="726" spans="1:1">
      <c r="A726">
        <v>3432</v>
      </c>
    </row>
    <row r="727" spans="1:1">
      <c r="A727">
        <v>3434</v>
      </c>
    </row>
    <row r="728" spans="1:1">
      <c r="A728">
        <v>3437</v>
      </c>
    </row>
    <row r="729" spans="1:1">
      <c r="A729">
        <v>3438</v>
      </c>
    </row>
    <row r="730" spans="1:1">
      <c r="A730">
        <v>3441</v>
      </c>
    </row>
    <row r="731" spans="1:1">
      <c r="A731">
        <v>3443</v>
      </c>
    </row>
    <row r="732" spans="1:1">
      <c r="A732">
        <v>3444</v>
      </c>
    </row>
    <row r="733" spans="1:1">
      <c r="A733">
        <v>3450</v>
      </c>
    </row>
    <row r="734" spans="1:1">
      <c r="A734">
        <v>3452</v>
      </c>
    </row>
    <row r="735" spans="1:1">
      <c r="A735">
        <v>3454</v>
      </c>
    </row>
    <row r="736" spans="1:1">
      <c r="A736">
        <v>3455</v>
      </c>
    </row>
    <row r="737" spans="1:1">
      <c r="A737">
        <v>3465</v>
      </c>
    </row>
    <row r="738" spans="1:1">
      <c r="A738">
        <v>3466</v>
      </c>
    </row>
    <row r="739" spans="1:1">
      <c r="A739">
        <v>3474</v>
      </c>
    </row>
    <row r="740" spans="1:1">
      <c r="A740">
        <v>3479</v>
      </c>
    </row>
    <row r="741" spans="1:1">
      <c r="A741">
        <v>3481</v>
      </c>
    </row>
    <row r="742" spans="1:1">
      <c r="A742">
        <v>3483</v>
      </c>
    </row>
    <row r="743" spans="1:1">
      <c r="A743">
        <v>3484</v>
      </c>
    </row>
    <row r="744" spans="1:1">
      <c r="A744">
        <v>3489</v>
      </c>
    </row>
    <row r="745" spans="1:1">
      <c r="A745">
        <v>3490</v>
      </c>
    </row>
    <row r="746" spans="1:1">
      <c r="A746">
        <v>3491</v>
      </c>
    </row>
    <row r="747" spans="1:1">
      <c r="A747">
        <v>3494</v>
      </c>
    </row>
    <row r="748" spans="1:1">
      <c r="A748">
        <v>3498</v>
      </c>
    </row>
    <row r="749" spans="1:1">
      <c r="A749">
        <v>3499</v>
      </c>
    </row>
    <row r="750" spans="1:1">
      <c r="A750">
        <v>3501</v>
      </c>
    </row>
    <row r="751" spans="1:1">
      <c r="A751">
        <v>3504</v>
      </c>
    </row>
    <row r="752" spans="1:1">
      <c r="A752">
        <v>3508</v>
      </c>
    </row>
    <row r="753" spans="1:1">
      <c r="A753">
        <v>3511</v>
      </c>
    </row>
    <row r="754" spans="1:1">
      <c r="A754">
        <v>3512</v>
      </c>
    </row>
    <row r="755" spans="1:1">
      <c r="A755">
        <v>3514</v>
      </c>
    </row>
    <row r="756" spans="1:1">
      <c r="A756">
        <v>3515</v>
      </c>
    </row>
    <row r="757" spans="1:1">
      <c r="A757">
        <v>3516</v>
      </c>
    </row>
    <row r="758" spans="1:1">
      <c r="A758">
        <v>3518</v>
      </c>
    </row>
    <row r="759" spans="1:1">
      <c r="A759">
        <v>3519</v>
      </c>
    </row>
    <row r="760" spans="1:1">
      <c r="A760">
        <v>3520</v>
      </c>
    </row>
    <row r="761" spans="1:1">
      <c r="A761">
        <v>3521</v>
      </c>
    </row>
    <row r="762" spans="1:1">
      <c r="A762">
        <v>3522</v>
      </c>
    </row>
    <row r="763" spans="1:1">
      <c r="A763">
        <v>3523</v>
      </c>
    </row>
    <row r="764" spans="1:1">
      <c r="A764">
        <v>3526</v>
      </c>
    </row>
    <row r="765" spans="1:1">
      <c r="A765">
        <v>3527</v>
      </c>
    </row>
    <row r="766" spans="1:1">
      <c r="A766">
        <v>3528</v>
      </c>
    </row>
    <row r="767" spans="1:1">
      <c r="A767">
        <v>3529</v>
      </c>
    </row>
    <row r="768" spans="1:1">
      <c r="A768">
        <v>3531</v>
      </c>
    </row>
    <row r="769" spans="1:1">
      <c r="A769">
        <v>3532</v>
      </c>
    </row>
    <row r="770" spans="1:1">
      <c r="A770">
        <v>3533</v>
      </c>
    </row>
    <row r="771" spans="1:1">
      <c r="A771">
        <v>3535</v>
      </c>
    </row>
    <row r="772" spans="1:1">
      <c r="A772">
        <v>3536</v>
      </c>
    </row>
    <row r="773" spans="1:1">
      <c r="A773">
        <v>3537</v>
      </c>
    </row>
    <row r="774" spans="1:1">
      <c r="A774">
        <v>3540</v>
      </c>
    </row>
    <row r="775" spans="1:1">
      <c r="A775">
        <v>3541</v>
      </c>
    </row>
    <row r="776" spans="1:1">
      <c r="A776">
        <v>3545</v>
      </c>
    </row>
    <row r="777" spans="1:1">
      <c r="A777">
        <v>3546</v>
      </c>
    </row>
    <row r="778" spans="1:1">
      <c r="A778">
        <v>3548</v>
      </c>
    </row>
    <row r="779" spans="1:1">
      <c r="A779">
        <v>3550</v>
      </c>
    </row>
    <row r="780" spans="1:1">
      <c r="A780">
        <v>3551</v>
      </c>
    </row>
    <row r="781" spans="1:1">
      <c r="A781">
        <v>3552</v>
      </c>
    </row>
    <row r="782" spans="1:1">
      <c r="A782">
        <v>3553</v>
      </c>
    </row>
    <row r="783" spans="1:1">
      <c r="A783">
        <v>3555</v>
      </c>
    </row>
    <row r="784" spans="1:1">
      <c r="A784">
        <v>3556</v>
      </c>
    </row>
    <row r="785" spans="1:1">
      <c r="A785">
        <v>3557</v>
      </c>
    </row>
    <row r="786" spans="1:1">
      <c r="A786">
        <v>3558</v>
      </c>
    </row>
    <row r="787" spans="1:1">
      <c r="A787">
        <v>3559</v>
      </c>
    </row>
    <row r="788" spans="1:1">
      <c r="A788">
        <v>3561</v>
      </c>
    </row>
    <row r="789" spans="1:1">
      <c r="A789">
        <v>3562</v>
      </c>
    </row>
    <row r="790" spans="1:1">
      <c r="A790">
        <v>3563</v>
      </c>
    </row>
    <row r="791" spans="1:1">
      <c r="A791">
        <v>3564</v>
      </c>
    </row>
    <row r="792" spans="1:1">
      <c r="A792">
        <v>3567</v>
      </c>
    </row>
    <row r="793" spans="1:1">
      <c r="A793">
        <v>3570</v>
      </c>
    </row>
    <row r="794" spans="1:1">
      <c r="A794">
        <v>3573</v>
      </c>
    </row>
    <row r="795" spans="1:1">
      <c r="A795">
        <v>3576</v>
      </c>
    </row>
    <row r="796" spans="1:1">
      <c r="A796">
        <v>3577</v>
      </c>
    </row>
    <row r="797" spans="1:1">
      <c r="A797">
        <v>3579</v>
      </c>
    </row>
    <row r="798" spans="1:1">
      <c r="A798">
        <v>3580</v>
      </c>
    </row>
    <row r="799" spans="1:1">
      <c r="A799">
        <v>3581</v>
      </c>
    </row>
    <row r="800" spans="1:1">
      <c r="A800">
        <v>3583</v>
      </c>
    </row>
    <row r="801" spans="1:1">
      <c r="A801">
        <v>3584</v>
      </c>
    </row>
    <row r="802" spans="1:1">
      <c r="A802">
        <v>3587</v>
      </c>
    </row>
    <row r="803" spans="1:1">
      <c r="A803">
        <v>3588</v>
      </c>
    </row>
    <row r="804" spans="1:1">
      <c r="A804">
        <v>3591</v>
      </c>
    </row>
    <row r="805" spans="1:1">
      <c r="A805">
        <v>3593</v>
      </c>
    </row>
    <row r="806" spans="1:1">
      <c r="A806">
        <v>3594</v>
      </c>
    </row>
    <row r="807" spans="1:1">
      <c r="A807">
        <v>3596</v>
      </c>
    </row>
    <row r="808" spans="1:1">
      <c r="A808">
        <v>3598</v>
      </c>
    </row>
    <row r="809" spans="1:1">
      <c r="A809">
        <v>3605</v>
      </c>
    </row>
    <row r="810" spans="1:1">
      <c r="A810">
        <v>3607</v>
      </c>
    </row>
    <row r="811" spans="1:1">
      <c r="A811">
        <v>3609</v>
      </c>
    </row>
    <row r="812" spans="1:1">
      <c r="A812">
        <v>3611</v>
      </c>
    </row>
    <row r="813" spans="1:1">
      <c r="A813">
        <v>3615</v>
      </c>
    </row>
    <row r="814" spans="1:1">
      <c r="A814">
        <v>3617</v>
      </c>
    </row>
    <row r="815" spans="1:1">
      <c r="A815">
        <v>3622</v>
      </c>
    </row>
    <row r="816" spans="1:1">
      <c r="A816">
        <v>3623</v>
      </c>
    </row>
    <row r="817" spans="1:1">
      <c r="A817">
        <v>3624</v>
      </c>
    </row>
    <row r="818" spans="1:1">
      <c r="A818">
        <v>3625</v>
      </c>
    </row>
    <row r="819" spans="1:1">
      <c r="A819">
        <v>3628</v>
      </c>
    </row>
    <row r="820" spans="1:1">
      <c r="A820">
        <v>3629</v>
      </c>
    </row>
    <row r="821" spans="1:1">
      <c r="A821">
        <v>3630</v>
      </c>
    </row>
    <row r="822" spans="1:1">
      <c r="A822">
        <v>3631</v>
      </c>
    </row>
    <row r="823" spans="1:1">
      <c r="A823">
        <v>3632</v>
      </c>
    </row>
    <row r="824" spans="1:1">
      <c r="A824">
        <v>3642</v>
      </c>
    </row>
    <row r="825" spans="1:1">
      <c r="A825">
        <v>3645</v>
      </c>
    </row>
    <row r="826" spans="1:1">
      <c r="A826">
        <v>3646</v>
      </c>
    </row>
    <row r="827" spans="1:1">
      <c r="A827">
        <v>3652</v>
      </c>
    </row>
    <row r="828" spans="1:1">
      <c r="A828">
        <v>3653</v>
      </c>
    </row>
    <row r="829" spans="1:1">
      <c r="A829">
        <v>3658</v>
      </c>
    </row>
    <row r="830" spans="1:1">
      <c r="A830">
        <v>3661</v>
      </c>
    </row>
    <row r="831" spans="1:1">
      <c r="A831">
        <v>3662</v>
      </c>
    </row>
    <row r="832" spans="1:1">
      <c r="A832">
        <v>3663</v>
      </c>
    </row>
    <row r="833" spans="1:1">
      <c r="A833">
        <v>3664</v>
      </c>
    </row>
    <row r="834" spans="1:1">
      <c r="A834">
        <v>3665</v>
      </c>
    </row>
    <row r="835" spans="1:1">
      <c r="A835">
        <v>3666</v>
      </c>
    </row>
    <row r="836" spans="1:1">
      <c r="A836">
        <v>3669</v>
      </c>
    </row>
    <row r="837" spans="1:1">
      <c r="A837">
        <v>3672</v>
      </c>
    </row>
    <row r="838" spans="1:1">
      <c r="A838">
        <v>3673</v>
      </c>
    </row>
    <row r="839" spans="1:1">
      <c r="A839">
        <v>3675</v>
      </c>
    </row>
    <row r="840" spans="1:1">
      <c r="A840">
        <v>3679</v>
      </c>
    </row>
    <row r="841" spans="1:1">
      <c r="A841">
        <v>3680</v>
      </c>
    </row>
    <row r="842" spans="1:1">
      <c r="A842">
        <v>3682</v>
      </c>
    </row>
    <row r="843" spans="1:1">
      <c r="A843">
        <v>3684</v>
      </c>
    </row>
    <row r="844" spans="1:1">
      <c r="A844">
        <v>3685</v>
      </c>
    </row>
    <row r="845" spans="1:1">
      <c r="A845">
        <v>3686</v>
      </c>
    </row>
    <row r="846" spans="1:1">
      <c r="A846">
        <v>3687</v>
      </c>
    </row>
    <row r="847" spans="1:1">
      <c r="A847">
        <v>3689</v>
      </c>
    </row>
    <row r="848" spans="1:1">
      <c r="A848">
        <v>3691</v>
      </c>
    </row>
    <row r="849" spans="1:1">
      <c r="A849">
        <v>3693</v>
      </c>
    </row>
    <row r="850" spans="1:1">
      <c r="A850">
        <v>3694</v>
      </c>
    </row>
    <row r="851" spans="1:1">
      <c r="A851">
        <v>3698</v>
      </c>
    </row>
    <row r="852" spans="1:1">
      <c r="A852">
        <v>3701</v>
      </c>
    </row>
    <row r="853" spans="1:1">
      <c r="A853">
        <v>3702</v>
      </c>
    </row>
    <row r="854" spans="1:1">
      <c r="A854">
        <v>3703</v>
      </c>
    </row>
    <row r="855" spans="1:1">
      <c r="A855">
        <v>3704</v>
      </c>
    </row>
    <row r="856" spans="1:1">
      <c r="A856">
        <v>3705</v>
      </c>
    </row>
    <row r="857" spans="1:1">
      <c r="A857">
        <v>3706</v>
      </c>
    </row>
    <row r="858" spans="1:1">
      <c r="A858">
        <v>3707</v>
      </c>
    </row>
    <row r="859" spans="1:1">
      <c r="A859">
        <v>4102</v>
      </c>
    </row>
    <row r="860" spans="1:1">
      <c r="A860">
        <v>4103</v>
      </c>
    </row>
    <row r="861" spans="1:1">
      <c r="A861">
        <v>4104</v>
      </c>
    </row>
    <row r="862" spans="1:1">
      <c r="A862">
        <v>4105</v>
      </c>
    </row>
    <row r="863" spans="1:1">
      <c r="A863">
        <v>4106</v>
      </c>
    </row>
    <row r="864" spans="1:1">
      <c r="A864">
        <v>4107</v>
      </c>
    </row>
    <row r="865" spans="1:1">
      <c r="A865">
        <v>4108</v>
      </c>
    </row>
    <row r="866" spans="1:1">
      <c r="A866">
        <v>4109</v>
      </c>
    </row>
    <row r="867" spans="1:1">
      <c r="A867">
        <v>4111</v>
      </c>
    </row>
    <row r="868" spans="1:1">
      <c r="A868">
        <v>4113</v>
      </c>
    </row>
    <row r="869" spans="1:1">
      <c r="A869">
        <v>4114</v>
      </c>
    </row>
    <row r="870" spans="1:1">
      <c r="A870">
        <v>4119</v>
      </c>
    </row>
    <row r="871" spans="1:1">
      <c r="A871">
        <v>4120</v>
      </c>
    </row>
    <row r="872" spans="1:1">
      <c r="A872">
        <v>4121</v>
      </c>
    </row>
    <row r="873" spans="1:1">
      <c r="A873">
        <v>4123</v>
      </c>
    </row>
    <row r="874" spans="1:1">
      <c r="A874">
        <v>4126</v>
      </c>
    </row>
    <row r="875" spans="1:1">
      <c r="A875">
        <v>4127</v>
      </c>
    </row>
    <row r="876" spans="1:1">
      <c r="A876">
        <v>4128</v>
      </c>
    </row>
    <row r="877" spans="1:1">
      <c r="A877">
        <v>4129</v>
      </c>
    </row>
    <row r="878" spans="1:1">
      <c r="A878">
        <v>4130</v>
      </c>
    </row>
    <row r="879" spans="1:1">
      <c r="A879">
        <v>4131</v>
      </c>
    </row>
    <row r="880" spans="1:1">
      <c r="A880">
        <v>4133</v>
      </c>
    </row>
    <row r="881" spans="1:1">
      <c r="A881">
        <v>4137</v>
      </c>
    </row>
    <row r="882" spans="1:1">
      <c r="A882">
        <v>4138</v>
      </c>
    </row>
    <row r="883" spans="1:1">
      <c r="A883">
        <v>4139</v>
      </c>
    </row>
    <row r="884" spans="1:1">
      <c r="A884">
        <v>4141</v>
      </c>
    </row>
    <row r="885" spans="1:1">
      <c r="A885">
        <v>4142</v>
      </c>
    </row>
    <row r="886" spans="1:1">
      <c r="A886">
        <v>4144</v>
      </c>
    </row>
    <row r="887" spans="1:1">
      <c r="A887">
        <v>4152</v>
      </c>
    </row>
    <row r="888" spans="1:1">
      <c r="A888">
        <v>4153</v>
      </c>
    </row>
    <row r="889" spans="1:1">
      <c r="A889">
        <v>4154</v>
      </c>
    </row>
    <row r="890" spans="1:1">
      <c r="A890">
        <v>4157</v>
      </c>
    </row>
    <row r="891" spans="1:1">
      <c r="A891">
        <v>4160</v>
      </c>
    </row>
    <row r="892" spans="1:1">
      <c r="A892">
        <v>4161</v>
      </c>
    </row>
    <row r="893" spans="1:1">
      <c r="A893">
        <v>4162</v>
      </c>
    </row>
    <row r="894" spans="1:1">
      <c r="A894">
        <v>4163</v>
      </c>
    </row>
    <row r="895" spans="1:1">
      <c r="A895">
        <v>4164</v>
      </c>
    </row>
    <row r="896" spans="1:1">
      <c r="A896">
        <v>4168</v>
      </c>
    </row>
    <row r="897" spans="1:1">
      <c r="A897">
        <v>4171</v>
      </c>
    </row>
    <row r="898" spans="1:1">
      <c r="A898">
        <v>4173</v>
      </c>
    </row>
    <row r="899" spans="1:1">
      <c r="A899">
        <v>4174</v>
      </c>
    </row>
    <row r="900" spans="1:1">
      <c r="A900">
        <v>4175</v>
      </c>
    </row>
    <row r="901" spans="1:1">
      <c r="A901">
        <v>4180</v>
      </c>
    </row>
    <row r="902" spans="1:1">
      <c r="A902">
        <v>4188</v>
      </c>
    </row>
    <row r="903" spans="1:1">
      <c r="A903">
        <v>4192</v>
      </c>
    </row>
    <row r="904" spans="1:1">
      <c r="A904">
        <v>4198</v>
      </c>
    </row>
    <row r="905" spans="1:1">
      <c r="A905">
        <v>4205</v>
      </c>
    </row>
    <row r="906" spans="1:1">
      <c r="A906">
        <v>4207</v>
      </c>
    </row>
    <row r="907" spans="1:1">
      <c r="A907">
        <v>4303</v>
      </c>
    </row>
    <row r="908" spans="1:1">
      <c r="A908">
        <v>4304</v>
      </c>
    </row>
    <row r="909" spans="1:1">
      <c r="A909">
        <v>4305</v>
      </c>
    </row>
    <row r="910" spans="1:1">
      <c r="A910">
        <v>4306</v>
      </c>
    </row>
    <row r="911" spans="1:1">
      <c r="A911">
        <v>4401</v>
      </c>
    </row>
    <row r="912" spans="1:1">
      <c r="A912">
        <v>4402</v>
      </c>
    </row>
    <row r="913" spans="1:1">
      <c r="A913">
        <v>4406</v>
      </c>
    </row>
    <row r="914" spans="1:1">
      <c r="A914">
        <v>4414</v>
      </c>
    </row>
    <row r="915" spans="1:1">
      <c r="A915">
        <v>4415</v>
      </c>
    </row>
    <row r="916" spans="1:1">
      <c r="A916">
        <v>4416</v>
      </c>
    </row>
    <row r="917" spans="1:1">
      <c r="A917">
        <v>4417</v>
      </c>
    </row>
    <row r="918" spans="1:1">
      <c r="A918">
        <v>4419</v>
      </c>
    </row>
    <row r="919" spans="1:1">
      <c r="A919">
        <v>4420</v>
      </c>
    </row>
    <row r="920" spans="1:1">
      <c r="A920">
        <v>4426</v>
      </c>
    </row>
    <row r="921" spans="1:1">
      <c r="A921">
        <v>4429</v>
      </c>
    </row>
    <row r="922" spans="1:1">
      <c r="A922">
        <v>4430</v>
      </c>
    </row>
    <row r="923" spans="1:1">
      <c r="A923">
        <v>4432</v>
      </c>
    </row>
    <row r="924" spans="1:1">
      <c r="A924">
        <v>4433</v>
      </c>
    </row>
    <row r="925" spans="1:1">
      <c r="A925">
        <v>4502</v>
      </c>
    </row>
    <row r="926" spans="1:1">
      <c r="A926">
        <v>4503</v>
      </c>
    </row>
    <row r="927" spans="1:1">
      <c r="A927">
        <v>4506</v>
      </c>
    </row>
    <row r="928" spans="1:1">
      <c r="A928">
        <v>4510</v>
      </c>
    </row>
    <row r="929" spans="1:1">
      <c r="A929">
        <v>4513</v>
      </c>
    </row>
    <row r="930" spans="1:1">
      <c r="A930">
        <v>4523</v>
      </c>
    </row>
    <row r="931" spans="1:1">
      <c r="A931">
        <v>4526</v>
      </c>
    </row>
    <row r="932" spans="1:1">
      <c r="A932">
        <v>4527</v>
      </c>
    </row>
    <row r="933" spans="1:1">
      <c r="A933">
        <v>4528</v>
      </c>
    </row>
    <row r="934" spans="1:1">
      <c r="A934">
        <v>4529</v>
      </c>
    </row>
    <row r="935" spans="1:1">
      <c r="A935">
        <v>4530</v>
      </c>
    </row>
    <row r="936" spans="1:1">
      <c r="A936">
        <v>4532</v>
      </c>
    </row>
    <row r="937" spans="1:1">
      <c r="A937">
        <v>4533</v>
      </c>
    </row>
    <row r="938" spans="1:1">
      <c r="A938">
        <v>4534</v>
      </c>
    </row>
    <row r="939" spans="1:1">
      <c r="A939">
        <v>4535</v>
      </c>
    </row>
    <row r="940" spans="1:1">
      <c r="A940">
        <v>4536</v>
      </c>
    </row>
    <row r="941" spans="1:1">
      <c r="A941">
        <v>4541</v>
      </c>
    </row>
    <row r="942" spans="1:1">
      <c r="A942">
        <v>4542</v>
      </c>
    </row>
    <row r="943" spans="1:1">
      <c r="A943">
        <v>4549</v>
      </c>
    </row>
    <row r="944" spans="1:1">
      <c r="A944">
        <v>4550</v>
      </c>
    </row>
    <row r="945" spans="1:1">
      <c r="A945">
        <v>4609</v>
      </c>
    </row>
    <row r="946" spans="1:1">
      <c r="A946">
        <v>4702</v>
      </c>
    </row>
    <row r="947" spans="1:1">
      <c r="A947">
        <v>4703</v>
      </c>
    </row>
    <row r="948" spans="1:1">
      <c r="A948">
        <v>4706</v>
      </c>
    </row>
    <row r="949" spans="1:1">
      <c r="A949">
        <v>4707</v>
      </c>
    </row>
    <row r="950" spans="1:1">
      <c r="A950">
        <v>4711</v>
      </c>
    </row>
    <row r="951" spans="1:1">
      <c r="A951">
        <v>4712</v>
      </c>
    </row>
    <row r="952" spans="1:1">
      <c r="A952">
        <v>4714</v>
      </c>
    </row>
    <row r="953" spans="1:1">
      <c r="A953">
        <v>4716</v>
      </c>
    </row>
    <row r="954" spans="1:1">
      <c r="A954">
        <v>4720</v>
      </c>
    </row>
    <row r="955" spans="1:1">
      <c r="A955">
        <v>4721</v>
      </c>
    </row>
    <row r="956" spans="1:1">
      <c r="A956">
        <v>4722</v>
      </c>
    </row>
    <row r="957" spans="1:1">
      <c r="A957">
        <v>4725</v>
      </c>
    </row>
    <row r="958" spans="1:1">
      <c r="A958">
        <v>4726</v>
      </c>
    </row>
    <row r="959" spans="1:1">
      <c r="A959">
        <v>4728</v>
      </c>
    </row>
    <row r="960" spans="1:1">
      <c r="A960">
        <v>4729</v>
      </c>
    </row>
    <row r="961" spans="1:1">
      <c r="A961">
        <v>4733</v>
      </c>
    </row>
    <row r="962" spans="1:1">
      <c r="A962">
        <v>4735</v>
      </c>
    </row>
    <row r="963" spans="1:1">
      <c r="A963">
        <v>4736</v>
      </c>
    </row>
    <row r="964" spans="1:1">
      <c r="A964">
        <v>4737</v>
      </c>
    </row>
    <row r="965" spans="1:1">
      <c r="A965">
        <v>4739</v>
      </c>
    </row>
    <row r="966" spans="1:1">
      <c r="A966">
        <v>4743</v>
      </c>
    </row>
    <row r="967" spans="1:1">
      <c r="A967">
        <v>4745</v>
      </c>
    </row>
    <row r="968" spans="1:1">
      <c r="A968">
        <v>4746</v>
      </c>
    </row>
    <row r="969" spans="1:1">
      <c r="A969">
        <v>4747</v>
      </c>
    </row>
    <row r="970" spans="1:1">
      <c r="A970">
        <v>4755</v>
      </c>
    </row>
    <row r="971" spans="1:1">
      <c r="A971">
        <v>4903</v>
      </c>
    </row>
    <row r="972" spans="1:1">
      <c r="A972">
        <v>4904</v>
      </c>
    </row>
    <row r="973" spans="1:1">
      <c r="A973">
        <v>4905</v>
      </c>
    </row>
    <row r="974" spans="1:1">
      <c r="A974">
        <v>4906</v>
      </c>
    </row>
    <row r="975" spans="1:1">
      <c r="A975">
        <v>4908</v>
      </c>
    </row>
    <row r="976" spans="1:1">
      <c r="A976">
        <v>4909</v>
      </c>
    </row>
    <row r="977" spans="1:1">
      <c r="A977">
        <v>4911</v>
      </c>
    </row>
    <row r="978" spans="1:1">
      <c r="A978">
        <v>4912</v>
      </c>
    </row>
    <row r="979" spans="1:1">
      <c r="A979">
        <v>4915</v>
      </c>
    </row>
    <row r="980" spans="1:1">
      <c r="A980">
        <v>4916</v>
      </c>
    </row>
    <row r="981" spans="1:1">
      <c r="A981">
        <v>4919</v>
      </c>
    </row>
    <row r="982" spans="1:1">
      <c r="A982">
        <v>4924</v>
      </c>
    </row>
    <row r="983" spans="1:1">
      <c r="A983">
        <v>4927</v>
      </c>
    </row>
    <row r="984" spans="1:1">
      <c r="A984">
        <v>4930</v>
      </c>
    </row>
    <row r="985" spans="1:1">
      <c r="A985">
        <v>4933</v>
      </c>
    </row>
    <row r="986" spans="1:1">
      <c r="A986">
        <v>4934</v>
      </c>
    </row>
    <row r="987" spans="1:1">
      <c r="A987">
        <v>4935</v>
      </c>
    </row>
    <row r="988" spans="1:1">
      <c r="A988">
        <v>4938</v>
      </c>
    </row>
    <row r="989" spans="1:1">
      <c r="A989">
        <v>4939</v>
      </c>
    </row>
    <row r="990" spans="1:1">
      <c r="A990">
        <v>4942</v>
      </c>
    </row>
    <row r="991" spans="1:1">
      <c r="A991">
        <v>4944</v>
      </c>
    </row>
    <row r="992" spans="1:1">
      <c r="A992">
        <v>4946</v>
      </c>
    </row>
    <row r="993" spans="1:1">
      <c r="A993">
        <v>4947</v>
      </c>
    </row>
    <row r="994" spans="1:1">
      <c r="A994">
        <v>4950</v>
      </c>
    </row>
    <row r="995" spans="1:1">
      <c r="A995">
        <v>4952</v>
      </c>
    </row>
    <row r="996" spans="1:1">
      <c r="A996">
        <v>4953</v>
      </c>
    </row>
    <row r="997" spans="1:1">
      <c r="A997">
        <v>4956</v>
      </c>
    </row>
    <row r="998" spans="1:1">
      <c r="A998">
        <v>4958</v>
      </c>
    </row>
    <row r="999" spans="1:1">
      <c r="A999">
        <v>4960</v>
      </c>
    </row>
    <row r="1000" spans="1:1">
      <c r="A1000">
        <v>4965</v>
      </c>
    </row>
    <row r="1001" spans="1:1">
      <c r="A1001">
        <v>4966</v>
      </c>
    </row>
    <row r="1002" spans="1:1">
      <c r="A1002">
        <v>4971</v>
      </c>
    </row>
    <row r="1003" spans="1:1">
      <c r="A1003">
        <v>4972</v>
      </c>
    </row>
    <row r="1004" spans="1:1">
      <c r="A1004">
        <v>4973</v>
      </c>
    </row>
    <row r="1005" spans="1:1">
      <c r="A1005">
        <v>4974</v>
      </c>
    </row>
    <row r="1006" spans="1:1">
      <c r="A1006">
        <v>4976</v>
      </c>
    </row>
    <row r="1007" spans="1:1">
      <c r="A1007">
        <v>4977</v>
      </c>
    </row>
    <row r="1008" spans="1:1">
      <c r="A1008">
        <v>4979</v>
      </c>
    </row>
    <row r="1009" spans="1:1">
      <c r="A1009">
        <v>4984</v>
      </c>
    </row>
    <row r="1010" spans="1:1">
      <c r="A1010">
        <v>4987</v>
      </c>
    </row>
    <row r="1011" spans="1:1">
      <c r="A1011">
        <v>4991</v>
      </c>
    </row>
    <row r="1012" spans="1:1">
      <c r="A1012">
        <v>4994</v>
      </c>
    </row>
    <row r="1013" spans="1:1">
      <c r="A1013">
        <v>4995</v>
      </c>
    </row>
    <row r="1014" spans="1:1">
      <c r="A1014">
        <v>4999</v>
      </c>
    </row>
    <row r="1015" spans="1:1">
      <c r="A1015">
        <v>5007</v>
      </c>
    </row>
    <row r="1016" spans="1:1">
      <c r="A1016">
        <v>5009</v>
      </c>
    </row>
    <row r="1017" spans="1:1">
      <c r="A1017">
        <v>5011</v>
      </c>
    </row>
    <row r="1018" spans="1:1">
      <c r="A1018">
        <v>5013</v>
      </c>
    </row>
    <row r="1019" spans="1:1">
      <c r="A1019">
        <v>5014</v>
      </c>
    </row>
    <row r="1020" spans="1:1">
      <c r="A1020">
        <v>5015</v>
      </c>
    </row>
    <row r="1021" spans="1:1">
      <c r="A1021">
        <v>5016</v>
      </c>
    </row>
    <row r="1022" spans="1:1">
      <c r="A1022">
        <v>5102</v>
      </c>
    </row>
    <row r="1023" spans="1:1">
      <c r="A1023">
        <v>5201</v>
      </c>
    </row>
    <row r="1024" spans="1:1">
      <c r="A1024">
        <v>5202</v>
      </c>
    </row>
    <row r="1025" spans="1:1">
      <c r="A1025">
        <v>5203</v>
      </c>
    </row>
    <row r="1026" spans="1:1">
      <c r="A1026">
        <v>5205</v>
      </c>
    </row>
    <row r="1027" spans="1:1">
      <c r="A1027">
        <v>5206</v>
      </c>
    </row>
    <row r="1028" spans="1:1">
      <c r="A1028">
        <v>5209</v>
      </c>
    </row>
    <row r="1029" spans="1:1">
      <c r="A1029">
        <v>5210</v>
      </c>
    </row>
    <row r="1030" spans="1:1">
      <c r="A1030">
        <v>5211</v>
      </c>
    </row>
    <row r="1031" spans="1:1">
      <c r="A1031">
        <v>5212</v>
      </c>
    </row>
    <row r="1032" spans="1:1">
      <c r="A1032">
        <v>5213</v>
      </c>
    </row>
    <row r="1033" spans="1:1">
      <c r="A1033">
        <v>5215</v>
      </c>
    </row>
    <row r="1034" spans="1:1">
      <c r="A1034">
        <v>5225</v>
      </c>
    </row>
    <row r="1035" spans="1:1">
      <c r="A1035">
        <v>5227</v>
      </c>
    </row>
    <row r="1036" spans="1:1">
      <c r="A1036">
        <v>5230</v>
      </c>
    </row>
    <row r="1037" spans="1:1">
      <c r="A1037">
        <v>5234</v>
      </c>
    </row>
    <row r="1038" spans="1:1">
      <c r="A1038">
        <v>5243</v>
      </c>
    </row>
    <row r="1039" spans="1:1">
      <c r="A1039">
        <v>5251</v>
      </c>
    </row>
    <row r="1040" spans="1:1">
      <c r="A1040">
        <v>5259</v>
      </c>
    </row>
    <row r="1041" spans="1:1">
      <c r="A1041">
        <v>5263</v>
      </c>
    </row>
    <row r="1042" spans="1:1">
      <c r="A1042">
        <v>5264</v>
      </c>
    </row>
    <row r="1043" spans="1:1">
      <c r="A1043">
        <v>5266</v>
      </c>
    </row>
    <row r="1044" spans="1:1">
      <c r="A1044">
        <v>5269</v>
      </c>
    </row>
    <row r="1045" spans="1:1">
      <c r="A1045">
        <v>5272</v>
      </c>
    </row>
    <row r="1046" spans="1:1">
      <c r="A1046">
        <v>5274</v>
      </c>
    </row>
    <row r="1047" spans="1:1">
      <c r="A1047">
        <v>5276</v>
      </c>
    </row>
    <row r="1048" spans="1:1">
      <c r="A1048">
        <v>5278</v>
      </c>
    </row>
    <row r="1049" spans="1:1">
      <c r="A1049">
        <v>5284</v>
      </c>
    </row>
    <row r="1050" spans="1:1">
      <c r="A1050">
        <v>5285</v>
      </c>
    </row>
    <row r="1051" spans="1:1">
      <c r="A1051">
        <v>5287</v>
      </c>
    </row>
    <row r="1052" spans="1:1">
      <c r="A1052">
        <v>5288</v>
      </c>
    </row>
    <row r="1053" spans="1:1">
      <c r="A1053">
        <v>5289</v>
      </c>
    </row>
    <row r="1054" spans="1:1">
      <c r="A1054">
        <v>5291</v>
      </c>
    </row>
    <row r="1055" spans="1:1">
      <c r="A1055">
        <v>5301</v>
      </c>
    </row>
    <row r="1056" spans="1:1">
      <c r="A1056">
        <v>5302</v>
      </c>
    </row>
    <row r="1057" spans="1:1">
      <c r="A1057">
        <v>5304</v>
      </c>
    </row>
    <row r="1058" spans="1:1">
      <c r="A1058">
        <v>5305</v>
      </c>
    </row>
    <row r="1059" spans="1:1">
      <c r="A1059">
        <v>5306</v>
      </c>
    </row>
    <row r="1060" spans="1:1">
      <c r="A1060">
        <v>5309</v>
      </c>
    </row>
    <row r="1061" spans="1:1">
      <c r="A1061">
        <v>5310</v>
      </c>
    </row>
    <row r="1062" spans="1:1">
      <c r="A1062">
        <v>5312</v>
      </c>
    </row>
    <row r="1063" spans="1:1">
      <c r="A1063">
        <v>5314</v>
      </c>
    </row>
    <row r="1064" spans="1:1">
      <c r="A1064">
        <v>5315</v>
      </c>
    </row>
    <row r="1065" spans="1:1">
      <c r="A1065">
        <v>5317</v>
      </c>
    </row>
    <row r="1066" spans="1:1">
      <c r="A1066">
        <v>5321</v>
      </c>
    </row>
    <row r="1067" spans="1:1">
      <c r="A1067">
        <v>5324</v>
      </c>
    </row>
    <row r="1068" spans="1:1">
      <c r="A1068">
        <v>5328</v>
      </c>
    </row>
    <row r="1069" spans="1:1">
      <c r="A1069">
        <v>5340</v>
      </c>
    </row>
    <row r="1070" spans="1:1">
      <c r="A1070">
        <v>5344</v>
      </c>
    </row>
    <row r="1071" spans="1:1">
      <c r="A1071">
        <v>5345</v>
      </c>
    </row>
    <row r="1072" spans="1:1">
      <c r="A1072">
        <v>5347</v>
      </c>
    </row>
    <row r="1073" spans="1:1">
      <c r="A1073">
        <v>5348</v>
      </c>
    </row>
    <row r="1074" spans="1:1">
      <c r="A1074">
        <v>5349</v>
      </c>
    </row>
    <row r="1075" spans="1:1">
      <c r="A1075">
        <v>5351</v>
      </c>
    </row>
    <row r="1076" spans="1:1">
      <c r="A1076">
        <v>5353</v>
      </c>
    </row>
    <row r="1077" spans="1:1">
      <c r="A1077">
        <v>5355</v>
      </c>
    </row>
    <row r="1078" spans="1:1">
      <c r="A1078">
        <v>5356</v>
      </c>
    </row>
    <row r="1079" spans="1:1">
      <c r="A1079">
        <v>5364</v>
      </c>
    </row>
    <row r="1080" spans="1:1">
      <c r="A1080">
        <v>5371</v>
      </c>
    </row>
    <row r="1081" spans="1:1">
      <c r="A1081">
        <v>5381</v>
      </c>
    </row>
    <row r="1082" spans="1:1">
      <c r="A1082">
        <v>5383</v>
      </c>
    </row>
    <row r="1083" spans="1:1">
      <c r="A1083">
        <v>5384</v>
      </c>
    </row>
    <row r="1084" spans="1:1">
      <c r="A1084">
        <v>5386</v>
      </c>
    </row>
    <row r="1085" spans="1:1">
      <c r="A1085">
        <v>5388</v>
      </c>
    </row>
    <row r="1086" spans="1:1">
      <c r="A1086">
        <v>5392</v>
      </c>
    </row>
    <row r="1087" spans="1:1">
      <c r="A1087">
        <v>5395</v>
      </c>
    </row>
    <row r="1088" spans="1:1">
      <c r="A1088">
        <v>5398</v>
      </c>
    </row>
    <row r="1089" spans="1:1">
      <c r="A1089">
        <v>5403</v>
      </c>
    </row>
    <row r="1090" spans="1:1">
      <c r="A1090">
        <v>5410</v>
      </c>
    </row>
    <row r="1091" spans="1:1">
      <c r="A1091">
        <v>5425</v>
      </c>
    </row>
    <row r="1092" spans="1:1">
      <c r="A1092">
        <v>5426</v>
      </c>
    </row>
    <row r="1093" spans="1:1">
      <c r="A1093">
        <v>5432</v>
      </c>
    </row>
    <row r="1094" spans="1:1">
      <c r="A1094">
        <v>5434</v>
      </c>
    </row>
    <row r="1095" spans="1:1">
      <c r="A1095">
        <v>5438</v>
      </c>
    </row>
    <row r="1096" spans="1:1">
      <c r="A1096">
        <v>5439</v>
      </c>
    </row>
    <row r="1097" spans="1:1">
      <c r="A1097">
        <v>5443</v>
      </c>
    </row>
    <row r="1098" spans="1:1">
      <c r="A1098">
        <v>5450</v>
      </c>
    </row>
    <row r="1099" spans="1:1">
      <c r="A1099">
        <v>5452</v>
      </c>
    </row>
    <row r="1100" spans="1:1">
      <c r="A1100">
        <v>5455</v>
      </c>
    </row>
    <row r="1101" spans="1:1">
      <c r="A1101">
        <v>5457</v>
      </c>
    </row>
    <row r="1102" spans="1:1">
      <c r="A1102">
        <v>5460</v>
      </c>
    </row>
    <row r="1103" spans="1:1">
      <c r="A1103">
        <v>5464</v>
      </c>
    </row>
    <row r="1104" spans="1:1">
      <c r="A1104">
        <v>5465</v>
      </c>
    </row>
    <row r="1105" spans="1:1">
      <c r="A1105">
        <v>5466</v>
      </c>
    </row>
    <row r="1106" spans="1:1">
      <c r="A1106">
        <v>5468</v>
      </c>
    </row>
    <row r="1107" spans="1:1">
      <c r="A1107">
        <v>5469</v>
      </c>
    </row>
    <row r="1108" spans="1:1">
      <c r="A1108">
        <v>5471</v>
      </c>
    </row>
    <row r="1109" spans="1:1">
      <c r="A1109">
        <v>5474</v>
      </c>
    </row>
    <row r="1110" spans="1:1">
      <c r="A1110">
        <v>5475</v>
      </c>
    </row>
    <row r="1111" spans="1:1">
      <c r="A1111">
        <v>5478</v>
      </c>
    </row>
    <row r="1112" spans="1:1">
      <c r="A1112">
        <v>5480</v>
      </c>
    </row>
    <row r="1113" spans="1:1">
      <c r="A1113">
        <v>5481</v>
      </c>
    </row>
    <row r="1114" spans="1:1">
      <c r="A1114">
        <v>5483</v>
      </c>
    </row>
    <row r="1115" spans="1:1">
      <c r="A1115">
        <v>5484</v>
      </c>
    </row>
    <row r="1116" spans="1:1">
      <c r="A1116">
        <v>5487</v>
      </c>
    </row>
    <row r="1117" spans="1:1">
      <c r="A1117">
        <v>5488</v>
      </c>
    </row>
    <row r="1118" spans="1:1">
      <c r="A1118">
        <v>5489</v>
      </c>
    </row>
    <row r="1119" spans="1:1">
      <c r="A1119">
        <v>5490</v>
      </c>
    </row>
    <row r="1120" spans="1:1">
      <c r="A1120">
        <v>5491</v>
      </c>
    </row>
    <row r="1121" spans="1:1">
      <c r="A1121">
        <v>5493</v>
      </c>
    </row>
    <row r="1122" spans="1:1">
      <c r="A1122">
        <v>5498</v>
      </c>
    </row>
    <row r="1123" spans="1:1">
      <c r="A1123">
        <v>5505</v>
      </c>
    </row>
    <row r="1124" spans="1:1">
      <c r="A1124">
        <v>5508</v>
      </c>
    </row>
    <row r="1125" spans="1:1">
      <c r="A1125">
        <v>5511</v>
      </c>
    </row>
    <row r="1126" spans="1:1">
      <c r="A1126">
        <v>5512</v>
      </c>
    </row>
    <row r="1127" spans="1:1">
      <c r="A1127">
        <v>5514</v>
      </c>
    </row>
    <row r="1128" spans="1:1">
      <c r="A1128">
        <v>5515</v>
      </c>
    </row>
    <row r="1129" spans="1:1">
      <c r="A1129">
        <v>5516</v>
      </c>
    </row>
    <row r="1130" spans="1:1">
      <c r="A1130">
        <v>5519</v>
      </c>
    </row>
    <row r="1131" spans="1:1">
      <c r="A1131">
        <v>5520</v>
      </c>
    </row>
    <row r="1132" spans="1:1">
      <c r="A1132">
        <v>5521</v>
      </c>
    </row>
    <row r="1133" spans="1:1">
      <c r="A1133">
        <v>5522</v>
      </c>
    </row>
    <row r="1134" spans="1:1">
      <c r="A1134">
        <v>5523</v>
      </c>
    </row>
    <row r="1135" spans="1:1">
      <c r="A1135">
        <v>5525</v>
      </c>
    </row>
    <row r="1136" spans="1:1">
      <c r="A1136">
        <v>5529</v>
      </c>
    </row>
    <row r="1137" spans="1:1">
      <c r="A1137">
        <v>5530</v>
      </c>
    </row>
    <row r="1138" spans="1:1">
      <c r="A1138">
        <v>5531</v>
      </c>
    </row>
    <row r="1139" spans="1:1">
      <c r="A1139">
        <v>5533</v>
      </c>
    </row>
    <row r="1140" spans="1:1">
      <c r="A1140">
        <v>5534</v>
      </c>
    </row>
    <row r="1141" spans="1:1">
      <c r="A1141">
        <v>5536</v>
      </c>
    </row>
    <row r="1142" spans="1:1">
      <c r="A1142">
        <v>5538</v>
      </c>
    </row>
    <row r="1143" spans="1:1">
      <c r="A1143">
        <v>5601</v>
      </c>
    </row>
    <row r="1144" spans="1:1">
      <c r="A1144">
        <v>5603</v>
      </c>
    </row>
    <row r="1145" spans="1:1">
      <c r="A1145">
        <v>5604</v>
      </c>
    </row>
    <row r="1146" spans="1:1">
      <c r="A1146">
        <v>5607</v>
      </c>
    </row>
    <row r="1147" spans="1:1">
      <c r="A1147">
        <v>5608</v>
      </c>
    </row>
    <row r="1148" spans="1:1">
      <c r="A1148">
        <v>5609</v>
      </c>
    </row>
    <row r="1149" spans="1:1">
      <c r="A1149">
        <v>5701</v>
      </c>
    </row>
    <row r="1150" spans="1:1">
      <c r="A1150">
        <v>5703</v>
      </c>
    </row>
    <row r="1151" spans="1:1">
      <c r="A1151">
        <v>5704</v>
      </c>
    </row>
    <row r="1152" spans="1:1">
      <c r="A1152">
        <v>5706</v>
      </c>
    </row>
    <row r="1153" spans="1:1">
      <c r="A1153">
        <v>5820</v>
      </c>
    </row>
    <row r="1154" spans="1:1">
      <c r="A1154">
        <v>5871</v>
      </c>
    </row>
    <row r="1155" spans="1:1">
      <c r="A1155">
        <v>5878</v>
      </c>
    </row>
    <row r="1156" spans="1:1">
      <c r="A1156">
        <v>5880</v>
      </c>
    </row>
    <row r="1157" spans="1:1">
      <c r="A1157">
        <v>5902</v>
      </c>
    </row>
    <row r="1158" spans="1:1">
      <c r="A1158">
        <v>5903</v>
      </c>
    </row>
    <row r="1159" spans="1:1">
      <c r="A1159">
        <v>5904</v>
      </c>
    </row>
    <row r="1160" spans="1:1">
      <c r="A1160">
        <v>5905</v>
      </c>
    </row>
    <row r="1161" spans="1:1">
      <c r="A1161">
        <v>5906</v>
      </c>
    </row>
    <row r="1162" spans="1:1">
      <c r="A1162">
        <v>5907</v>
      </c>
    </row>
    <row r="1163" spans="1:1">
      <c r="A1163">
        <v>6005</v>
      </c>
    </row>
    <row r="1164" spans="1:1">
      <c r="A1164">
        <v>6015</v>
      </c>
    </row>
    <row r="1165" spans="1:1">
      <c r="A1165">
        <v>6016</v>
      </c>
    </row>
    <row r="1166" spans="1:1">
      <c r="A1166">
        <v>6020</v>
      </c>
    </row>
    <row r="1167" spans="1:1">
      <c r="A1167">
        <v>6021</v>
      </c>
    </row>
    <row r="1168" spans="1:1">
      <c r="A1168">
        <v>6022</v>
      </c>
    </row>
    <row r="1169" spans="1:1">
      <c r="A1169">
        <v>6023</v>
      </c>
    </row>
    <row r="1170" spans="1:1">
      <c r="A1170">
        <v>6024</v>
      </c>
    </row>
    <row r="1171" spans="1:1">
      <c r="A1171">
        <v>6101</v>
      </c>
    </row>
    <row r="1172" spans="1:1">
      <c r="A1172">
        <v>6103</v>
      </c>
    </row>
    <row r="1173" spans="1:1">
      <c r="A1173">
        <v>6104</v>
      </c>
    </row>
    <row r="1174" spans="1:1">
      <c r="A1174">
        <v>6105</v>
      </c>
    </row>
    <row r="1175" spans="1:1">
      <c r="A1175">
        <v>6107</v>
      </c>
    </row>
    <row r="1176" spans="1:1">
      <c r="A1176">
        <v>6108</v>
      </c>
    </row>
    <row r="1177" spans="1:1">
      <c r="A1177">
        <v>6109</v>
      </c>
    </row>
    <row r="1178" spans="1:1">
      <c r="A1178">
        <v>6111</v>
      </c>
    </row>
    <row r="1179" spans="1:1">
      <c r="A1179">
        <v>6112</v>
      </c>
    </row>
    <row r="1180" spans="1:1">
      <c r="A1180">
        <v>6113</v>
      </c>
    </row>
    <row r="1181" spans="1:1">
      <c r="A1181">
        <v>6114</v>
      </c>
    </row>
    <row r="1182" spans="1:1">
      <c r="A1182">
        <v>6115</v>
      </c>
    </row>
    <row r="1183" spans="1:1">
      <c r="A1183">
        <v>6116</v>
      </c>
    </row>
    <row r="1184" spans="1:1">
      <c r="A1184">
        <v>6117</v>
      </c>
    </row>
    <row r="1185" spans="1:1">
      <c r="A1185">
        <v>6118</v>
      </c>
    </row>
    <row r="1186" spans="1:1">
      <c r="A1186">
        <v>6120</v>
      </c>
    </row>
    <row r="1187" spans="1:1">
      <c r="A1187">
        <v>6121</v>
      </c>
    </row>
    <row r="1188" spans="1:1">
      <c r="A1188">
        <v>6122</v>
      </c>
    </row>
    <row r="1189" spans="1:1">
      <c r="A1189">
        <v>6123</v>
      </c>
    </row>
    <row r="1190" spans="1:1">
      <c r="A1190">
        <v>6124</v>
      </c>
    </row>
    <row r="1191" spans="1:1">
      <c r="A1191">
        <v>6125</v>
      </c>
    </row>
    <row r="1192" spans="1:1">
      <c r="A1192">
        <v>6126</v>
      </c>
    </row>
    <row r="1193" spans="1:1">
      <c r="A1193">
        <v>6127</v>
      </c>
    </row>
    <row r="1194" spans="1:1">
      <c r="A1194">
        <v>6128</v>
      </c>
    </row>
    <row r="1195" spans="1:1">
      <c r="A1195">
        <v>6129</v>
      </c>
    </row>
    <row r="1196" spans="1:1">
      <c r="A1196">
        <v>6130</v>
      </c>
    </row>
    <row r="1197" spans="1:1">
      <c r="A1197">
        <v>6131</v>
      </c>
    </row>
    <row r="1198" spans="1:1">
      <c r="A1198">
        <v>6133</v>
      </c>
    </row>
    <row r="1199" spans="1:1">
      <c r="A1199">
        <v>6134</v>
      </c>
    </row>
    <row r="1200" spans="1:1">
      <c r="A1200">
        <v>6135</v>
      </c>
    </row>
    <row r="1201" spans="1:1">
      <c r="A1201">
        <v>6136</v>
      </c>
    </row>
    <row r="1202" spans="1:1">
      <c r="A1202">
        <v>6138</v>
      </c>
    </row>
    <row r="1203" spans="1:1">
      <c r="A1203">
        <v>6139</v>
      </c>
    </row>
    <row r="1204" spans="1:1">
      <c r="A1204">
        <v>6140</v>
      </c>
    </row>
    <row r="1205" spans="1:1">
      <c r="A1205">
        <v>6141</v>
      </c>
    </row>
    <row r="1206" spans="1:1">
      <c r="A1206">
        <v>6142</v>
      </c>
    </row>
    <row r="1207" spans="1:1">
      <c r="A1207">
        <v>6143</v>
      </c>
    </row>
    <row r="1208" spans="1:1">
      <c r="A1208">
        <v>6144</v>
      </c>
    </row>
    <row r="1209" spans="1:1">
      <c r="A1209">
        <v>6145</v>
      </c>
    </row>
    <row r="1210" spans="1:1">
      <c r="A1210">
        <v>6146</v>
      </c>
    </row>
    <row r="1211" spans="1:1">
      <c r="A1211">
        <v>6147</v>
      </c>
    </row>
    <row r="1212" spans="1:1">
      <c r="A1212">
        <v>6148</v>
      </c>
    </row>
    <row r="1213" spans="1:1">
      <c r="A1213">
        <v>6150</v>
      </c>
    </row>
    <row r="1214" spans="1:1">
      <c r="A1214">
        <v>6151</v>
      </c>
    </row>
    <row r="1215" spans="1:1">
      <c r="A1215">
        <v>6152</v>
      </c>
    </row>
    <row r="1216" spans="1:1">
      <c r="A1216">
        <v>6153</v>
      </c>
    </row>
    <row r="1217" spans="1:1">
      <c r="A1217">
        <v>6154</v>
      </c>
    </row>
    <row r="1218" spans="1:1">
      <c r="A1218">
        <v>6155</v>
      </c>
    </row>
    <row r="1219" spans="1:1">
      <c r="A1219">
        <v>6156</v>
      </c>
    </row>
    <row r="1220" spans="1:1">
      <c r="A1220">
        <v>6158</v>
      </c>
    </row>
    <row r="1221" spans="1:1">
      <c r="A1221">
        <v>6160</v>
      </c>
    </row>
    <row r="1222" spans="1:1">
      <c r="A1222">
        <v>6161</v>
      </c>
    </row>
    <row r="1223" spans="1:1">
      <c r="A1223">
        <v>6163</v>
      </c>
    </row>
    <row r="1224" spans="1:1">
      <c r="A1224">
        <v>6164</v>
      </c>
    </row>
    <row r="1225" spans="1:1">
      <c r="A1225">
        <v>6165</v>
      </c>
    </row>
    <row r="1226" spans="1:1">
      <c r="A1226">
        <v>6166</v>
      </c>
    </row>
    <row r="1227" spans="1:1">
      <c r="A1227">
        <v>6167</v>
      </c>
    </row>
    <row r="1228" spans="1:1">
      <c r="A1228">
        <v>6168</v>
      </c>
    </row>
    <row r="1229" spans="1:1">
      <c r="A1229">
        <v>6169</v>
      </c>
    </row>
    <row r="1230" spans="1:1">
      <c r="A1230">
        <v>6170</v>
      </c>
    </row>
    <row r="1231" spans="1:1">
      <c r="A1231">
        <v>6171</v>
      </c>
    </row>
    <row r="1232" spans="1:1">
      <c r="A1232">
        <v>6172</v>
      </c>
    </row>
    <row r="1233" spans="1:1">
      <c r="A1233">
        <v>6173</v>
      </c>
    </row>
    <row r="1234" spans="1:1">
      <c r="A1234">
        <v>6174</v>
      </c>
    </row>
    <row r="1235" spans="1:1">
      <c r="A1235">
        <v>6175</v>
      </c>
    </row>
    <row r="1236" spans="1:1">
      <c r="A1236">
        <v>6176</v>
      </c>
    </row>
    <row r="1237" spans="1:1">
      <c r="A1237">
        <v>6177</v>
      </c>
    </row>
    <row r="1238" spans="1:1">
      <c r="A1238">
        <v>6179</v>
      </c>
    </row>
    <row r="1239" spans="1:1">
      <c r="A1239">
        <v>6180</v>
      </c>
    </row>
    <row r="1240" spans="1:1">
      <c r="A1240">
        <v>6182</v>
      </c>
    </row>
    <row r="1241" spans="1:1">
      <c r="A1241">
        <v>6183</v>
      </c>
    </row>
    <row r="1242" spans="1:1">
      <c r="A1242">
        <v>6184</v>
      </c>
    </row>
    <row r="1243" spans="1:1">
      <c r="A1243">
        <v>6185</v>
      </c>
    </row>
    <row r="1244" spans="1:1">
      <c r="A1244">
        <v>6186</v>
      </c>
    </row>
    <row r="1245" spans="1:1">
      <c r="A1245">
        <v>6187</v>
      </c>
    </row>
    <row r="1246" spans="1:1">
      <c r="A1246">
        <v>6188</v>
      </c>
    </row>
    <row r="1247" spans="1:1">
      <c r="A1247">
        <v>6189</v>
      </c>
    </row>
    <row r="1248" spans="1:1">
      <c r="A1248">
        <v>6190</v>
      </c>
    </row>
    <row r="1249" spans="1:1">
      <c r="A1249">
        <v>6191</v>
      </c>
    </row>
    <row r="1250" spans="1:1">
      <c r="A1250">
        <v>6192</v>
      </c>
    </row>
    <row r="1251" spans="1:1">
      <c r="A1251">
        <v>6194</v>
      </c>
    </row>
    <row r="1252" spans="1:1">
      <c r="A1252">
        <v>6195</v>
      </c>
    </row>
    <row r="1253" spans="1:1">
      <c r="A1253">
        <v>6196</v>
      </c>
    </row>
    <row r="1254" spans="1:1">
      <c r="A1254">
        <v>6197</v>
      </c>
    </row>
    <row r="1255" spans="1:1">
      <c r="A1255">
        <v>6198</v>
      </c>
    </row>
    <row r="1256" spans="1:1">
      <c r="A1256">
        <v>6199</v>
      </c>
    </row>
    <row r="1257" spans="1:1">
      <c r="A1257">
        <v>6201</v>
      </c>
    </row>
    <row r="1258" spans="1:1">
      <c r="A1258">
        <v>6202</v>
      </c>
    </row>
    <row r="1259" spans="1:1">
      <c r="A1259">
        <v>6203</v>
      </c>
    </row>
    <row r="1260" spans="1:1">
      <c r="A1260">
        <v>6204</v>
      </c>
    </row>
    <row r="1261" spans="1:1">
      <c r="A1261">
        <v>6205</v>
      </c>
    </row>
    <row r="1262" spans="1:1">
      <c r="A1262">
        <v>6206</v>
      </c>
    </row>
    <row r="1263" spans="1:1">
      <c r="A1263">
        <v>6207</v>
      </c>
    </row>
    <row r="1264" spans="1:1">
      <c r="A1264">
        <v>6208</v>
      </c>
    </row>
    <row r="1265" spans="1:1">
      <c r="A1265">
        <v>6209</v>
      </c>
    </row>
    <row r="1266" spans="1:1">
      <c r="A1266">
        <v>6210</v>
      </c>
    </row>
    <row r="1267" spans="1:1">
      <c r="A1267">
        <v>6211</v>
      </c>
    </row>
    <row r="1268" spans="1:1">
      <c r="A1268">
        <v>6212</v>
      </c>
    </row>
    <row r="1269" spans="1:1">
      <c r="A1269">
        <v>6213</v>
      </c>
    </row>
    <row r="1270" spans="1:1">
      <c r="A1270">
        <v>6214</v>
      </c>
    </row>
    <row r="1271" spans="1:1">
      <c r="A1271">
        <v>6215</v>
      </c>
    </row>
    <row r="1272" spans="1:1">
      <c r="A1272">
        <v>6216</v>
      </c>
    </row>
    <row r="1273" spans="1:1">
      <c r="A1273">
        <v>6217</v>
      </c>
    </row>
    <row r="1274" spans="1:1">
      <c r="A1274">
        <v>6218</v>
      </c>
    </row>
    <row r="1275" spans="1:1">
      <c r="A1275">
        <v>6219</v>
      </c>
    </row>
    <row r="1276" spans="1:1">
      <c r="A1276">
        <v>6220</v>
      </c>
    </row>
    <row r="1277" spans="1:1">
      <c r="A1277">
        <v>6221</v>
      </c>
    </row>
    <row r="1278" spans="1:1">
      <c r="A1278">
        <v>6222</v>
      </c>
    </row>
    <row r="1279" spans="1:1">
      <c r="A1279">
        <v>6223</v>
      </c>
    </row>
    <row r="1280" spans="1:1">
      <c r="A1280">
        <v>6224</v>
      </c>
    </row>
    <row r="1281" spans="1:1">
      <c r="A1281">
        <v>6225</v>
      </c>
    </row>
    <row r="1282" spans="1:1">
      <c r="A1282">
        <v>6226</v>
      </c>
    </row>
    <row r="1283" spans="1:1">
      <c r="A1283">
        <v>6227</v>
      </c>
    </row>
    <row r="1284" spans="1:1">
      <c r="A1284">
        <v>6228</v>
      </c>
    </row>
    <row r="1285" spans="1:1">
      <c r="A1285">
        <v>6229</v>
      </c>
    </row>
    <row r="1286" spans="1:1">
      <c r="A1286">
        <v>6230</v>
      </c>
    </row>
    <row r="1287" spans="1:1">
      <c r="A1287">
        <v>6231</v>
      </c>
    </row>
    <row r="1288" spans="1:1">
      <c r="A1288">
        <v>6233</v>
      </c>
    </row>
    <row r="1289" spans="1:1">
      <c r="A1289">
        <v>6234</v>
      </c>
    </row>
    <row r="1290" spans="1:1">
      <c r="A1290">
        <v>6235</v>
      </c>
    </row>
    <row r="1291" spans="1:1">
      <c r="A1291">
        <v>6236</v>
      </c>
    </row>
    <row r="1292" spans="1:1">
      <c r="A1292">
        <v>6237</v>
      </c>
    </row>
    <row r="1293" spans="1:1">
      <c r="A1293">
        <v>6238</v>
      </c>
    </row>
    <row r="1294" spans="1:1">
      <c r="A1294">
        <v>6239</v>
      </c>
    </row>
    <row r="1295" spans="1:1">
      <c r="A1295">
        <v>6240</v>
      </c>
    </row>
    <row r="1296" spans="1:1">
      <c r="A1296">
        <v>6241</v>
      </c>
    </row>
    <row r="1297" spans="1:1">
      <c r="A1297">
        <v>6243</v>
      </c>
    </row>
    <row r="1298" spans="1:1">
      <c r="A1298">
        <v>6244</v>
      </c>
    </row>
    <row r="1299" spans="1:1">
      <c r="A1299">
        <v>6245</v>
      </c>
    </row>
    <row r="1300" spans="1:1">
      <c r="A1300">
        <v>6246</v>
      </c>
    </row>
    <row r="1301" spans="1:1">
      <c r="A1301">
        <v>6247</v>
      </c>
    </row>
    <row r="1302" spans="1:1">
      <c r="A1302">
        <v>6248</v>
      </c>
    </row>
    <row r="1303" spans="1:1">
      <c r="A1303">
        <v>6250</v>
      </c>
    </row>
    <row r="1304" spans="1:1">
      <c r="A1304">
        <v>6251</v>
      </c>
    </row>
    <row r="1305" spans="1:1">
      <c r="A1305">
        <v>6257</v>
      </c>
    </row>
    <row r="1306" spans="1:1">
      <c r="A1306">
        <v>6259</v>
      </c>
    </row>
    <row r="1307" spans="1:1">
      <c r="A1307">
        <v>6261</v>
      </c>
    </row>
    <row r="1308" spans="1:1">
      <c r="A1308">
        <v>6263</v>
      </c>
    </row>
    <row r="1309" spans="1:1">
      <c r="A1309">
        <v>6264</v>
      </c>
    </row>
    <row r="1310" spans="1:1">
      <c r="A1310">
        <v>6265</v>
      </c>
    </row>
    <row r="1311" spans="1:1">
      <c r="A1311">
        <v>6266</v>
      </c>
    </row>
    <row r="1312" spans="1:1">
      <c r="A1312">
        <v>6269</v>
      </c>
    </row>
    <row r="1313" spans="1:1">
      <c r="A1313">
        <v>6270</v>
      </c>
    </row>
    <row r="1314" spans="1:1">
      <c r="A1314">
        <v>6271</v>
      </c>
    </row>
    <row r="1315" spans="1:1">
      <c r="A1315">
        <v>6274</v>
      </c>
    </row>
    <row r="1316" spans="1:1">
      <c r="A1316">
        <v>6275</v>
      </c>
    </row>
    <row r="1317" spans="1:1">
      <c r="A1317">
        <v>6276</v>
      </c>
    </row>
    <row r="1318" spans="1:1">
      <c r="A1318">
        <v>6277</v>
      </c>
    </row>
    <row r="1319" spans="1:1">
      <c r="A1319">
        <v>6278</v>
      </c>
    </row>
    <row r="1320" spans="1:1">
      <c r="A1320">
        <v>6279</v>
      </c>
    </row>
    <row r="1321" spans="1:1">
      <c r="A1321">
        <v>6281</v>
      </c>
    </row>
    <row r="1322" spans="1:1">
      <c r="A1322">
        <v>6282</v>
      </c>
    </row>
    <row r="1323" spans="1:1">
      <c r="A1323">
        <v>6283</v>
      </c>
    </row>
    <row r="1324" spans="1:1">
      <c r="A1324">
        <v>6284</v>
      </c>
    </row>
    <row r="1325" spans="1:1">
      <c r="A1325">
        <v>6285</v>
      </c>
    </row>
    <row r="1326" spans="1:1">
      <c r="A1326">
        <v>6286</v>
      </c>
    </row>
    <row r="1327" spans="1:1">
      <c r="A1327">
        <v>6287</v>
      </c>
    </row>
    <row r="1328" spans="1:1">
      <c r="A1328">
        <v>6289</v>
      </c>
    </row>
    <row r="1329" spans="1:1">
      <c r="A1329">
        <v>6290</v>
      </c>
    </row>
    <row r="1330" spans="1:1">
      <c r="A1330">
        <v>6291</v>
      </c>
    </row>
    <row r="1331" spans="1:1">
      <c r="A1331">
        <v>6292</v>
      </c>
    </row>
    <row r="1332" spans="1:1">
      <c r="A1332">
        <v>6294</v>
      </c>
    </row>
    <row r="1333" spans="1:1">
      <c r="A1333">
        <v>6298</v>
      </c>
    </row>
    <row r="1334" spans="1:1">
      <c r="A1334">
        <v>6404</v>
      </c>
    </row>
    <row r="1335" spans="1:1">
      <c r="A1335">
        <v>6405</v>
      </c>
    </row>
    <row r="1336" spans="1:1">
      <c r="A1336">
        <v>6409</v>
      </c>
    </row>
    <row r="1337" spans="1:1">
      <c r="A1337">
        <v>6411</v>
      </c>
    </row>
    <row r="1338" spans="1:1">
      <c r="A1338">
        <v>6412</v>
      </c>
    </row>
    <row r="1339" spans="1:1">
      <c r="A1339">
        <v>6414</v>
      </c>
    </row>
    <row r="1340" spans="1:1">
      <c r="A1340">
        <v>6415</v>
      </c>
    </row>
    <row r="1341" spans="1:1">
      <c r="A1341">
        <v>6419</v>
      </c>
    </row>
    <row r="1342" spans="1:1">
      <c r="A1342">
        <v>6422</v>
      </c>
    </row>
    <row r="1343" spans="1:1">
      <c r="A1343">
        <v>6426</v>
      </c>
    </row>
    <row r="1344" spans="1:1">
      <c r="A1344">
        <v>6431</v>
      </c>
    </row>
    <row r="1345" spans="1:1">
      <c r="A1345">
        <v>6449</v>
      </c>
    </row>
    <row r="1346" spans="1:1">
      <c r="A1346">
        <v>6451</v>
      </c>
    </row>
    <row r="1347" spans="1:1">
      <c r="A1347">
        <v>6452</v>
      </c>
    </row>
    <row r="1348" spans="1:1">
      <c r="A1348">
        <v>6504</v>
      </c>
    </row>
    <row r="1349" spans="1:1">
      <c r="A1349">
        <v>6505</v>
      </c>
    </row>
    <row r="1350" spans="1:1">
      <c r="A1350">
        <v>6506</v>
      </c>
    </row>
    <row r="1351" spans="1:1">
      <c r="A1351">
        <v>6508</v>
      </c>
    </row>
    <row r="1352" spans="1:1">
      <c r="A1352">
        <v>6509</v>
      </c>
    </row>
    <row r="1353" spans="1:1">
      <c r="A1353">
        <v>6603</v>
      </c>
    </row>
    <row r="1354" spans="1:1">
      <c r="A1354">
        <v>6605</v>
      </c>
    </row>
    <row r="1355" spans="1:1">
      <c r="A1355">
        <v>6609</v>
      </c>
    </row>
    <row r="1356" spans="1:1">
      <c r="A1356">
        <v>6702</v>
      </c>
    </row>
    <row r="1357" spans="1:1">
      <c r="A1357">
        <v>6803</v>
      </c>
    </row>
    <row r="1358" spans="1:1">
      <c r="A1358">
        <v>8011</v>
      </c>
    </row>
    <row r="1359" spans="1:1">
      <c r="A1359">
        <v>8016</v>
      </c>
    </row>
    <row r="1360" spans="1:1">
      <c r="A1360">
        <v>8021</v>
      </c>
    </row>
    <row r="1361" spans="1:1">
      <c r="A1361">
        <v>8024</v>
      </c>
    </row>
    <row r="1362" spans="1:1">
      <c r="A1362">
        <v>8032</v>
      </c>
    </row>
    <row r="1363" spans="1:1">
      <c r="A1363">
        <v>8033</v>
      </c>
    </row>
    <row r="1364" spans="1:1">
      <c r="A1364">
        <v>8034</v>
      </c>
    </row>
    <row r="1365" spans="1:1">
      <c r="A1365">
        <v>8038</v>
      </c>
    </row>
    <row r="1366" spans="1:1">
      <c r="A1366">
        <v>8039</v>
      </c>
    </row>
    <row r="1367" spans="1:1">
      <c r="A1367">
        <v>8040</v>
      </c>
    </row>
    <row r="1368" spans="1:1">
      <c r="A1368">
        <v>8042</v>
      </c>
    </row>
    <row r="1369" spans="1:1">
      <c r="A1369">
        <v>8043</v>
      </c>
    </row>
    <row r="1370" spans="1:1">
      <c r="A1370">
        <v>8044</v>
      </c>
    </row>
    <row r="1371" spans="1:1">
      <c r="A1371">
        <v>8046</v>
      </c>
    </row>
    <row r="1372" spans="1:1">
      <c r="A1372">
        <v>8047</v>
      </c>
    </row>
    <row r="1373" spans="1:1">
      <c r="A1373">
        <v>8048</v>
      </c>
    </row>
    <row r="1374" spans="1:1">
      <c r="A1374">
        <v>8049</v>
      </c>
    </row>
    <row r="1375" spans="1:1">
      <c r="A1375">
        <v>8050</v>
      </c>
    </row>
    <row r="1376" spans="1:1">
      <c r="A1376">
        <v>8053</v>
      </c>
    </row>
    <row r="1377" spans="1:1">
      <c r="A1377">
        <v>8054</v>
      </c>
    </row>
    <row r="1378" spans="1:1">
      <c r="A1378">
        <v>8059</v>
      </c>
    </row>
    <row r="1379" spans="1:1">
      <c r="A1379">
        <v>8064</v>
      </c>
    </row>
    <row r="1380" spans="1:1">
      <c r="A1380">
        <v>8066</v>
      </c>
    </row>
    <row r="1381" spans="1:1">
      <c r="A1381">
        <v>8067</v>
      </c>
    </row>
    <row r="1382" spans="1:1">
      <c r="A1382">
        <v>8068</v>
      </c>
    </row>
    <row r="1383" spans="1:1">
      <c r="A1383">
        <v>8069</v>
      </c>
    </row>
    <row r="1384" spans="1:1">
      <c r="A1384">
        <v>8070</v>
      </c>
    </row>
    <row r="1385" spans="1:1">
      <c r="A1385">
        <v>8071</v>
      </c>
    </row>
    <row r="1386" spans="1:1">
      <c r="A1386">
        <v>8072</v>
      </c>
    </row>
    <row r="1387" spans="1:1">
      <c r="A1387">
        <v>8074</v>
      </c>
    </row>
    <row r="1388" spans="1:1">
      <c r="A1388">
        <v>8076</v>
      </c>
    </row>
    <row r="1389" spans="1:1">
      <c r="A1389">
        <v>8077</v>
      </c>
    </row>
    <row r="1390" spans="1:1">
      <c r="A1390">
        <v>8079</v>
      </c>
    </row>
    <row r="1391" spans="1:1">
      <c r="A1391">
        <v>8080</v>
      </c>
    </row>
    <row r="1392" spans="1:1">
      <c r="A1392">
        <v>8081</v>
      </c>
    </row>
    <row r="1393" spans="1:1">
      <c r="A1393">
        <v>8082</v>
      </c>
    </row>
    <row r="1394" spans="1:1">
      <c r="A1394">
        <v>8083</v>
      </c>
    </row>
    <row r="1395" spans="1:1">
      <c r="A1395">
        <v>8084</v>
      </c>
    </row>
    <row r="1396" spans="1:1">
      <c r="A1396">
        <v>8085</v>
      </c>
    </row>
    <row r="1397" spans="1:1">
      <c r="A1397">
        <v>8086</v>
      </c>
    </row>
    <row r="1398" spans="1:1">
      <c r="A1398">
        <v>8087</v>
      </c>
    </row>
    <row r="1399" spans="1:1">
      <c r="A1399">
        <v>8088</v>
      </c>
    </row>
    <row r="1400" spans="1:1">
      <c r="A1400">
        <v>8091</v>
      </c>
    </row>
    <row r="1401" spans="1:1">
      <c r="A1401">
        <v>8092</v>
      </c>
    </row>
    <row r="1402" spans="1:1">
      <c r="A1402">
        <v>8093</v>
      </c>
    </row>
    <row r="1403" spans="1:1">
      <c r="A1403">
        <v>8096</v>
      </c>
    </row>
    <row r="1404" spans="1:1">
      <c r="A1404">
        <v>8097</v>
      </c>
    </row>
    <row r="1405" spans="1:1">
      <c r="A1405">
        <v>8099</v>
      </c>
    </row>
    <row r="1406" spans="1:1">
      <c r="A1406">
        <v>8101</v>
      </c>
    </row>
    <row r="1407" spans="1:1">
      <c r="A1407">
        <v>8103</v>
      </c>
    </row>
    <row r="1408" spans="1:1">
      <c r="A1408">
        <v>8105</v>
      </c>
    </row>
    <row r="1409" spans="1:1">
      <c r="A1409">
        <v>8107</v>
      </c>
    </row>
    <row r="1410" spans="1:1">
      <c r="A1410">
        <v>8109</v>
      </c>
    </row>
    <row r="1411" spans="1:1">
      <c r="A1411">
        <v>8110</v>
      </c>
    </row>
    <row r="1412" spans="1:1">
      <c r="A1412">
        <v>8111</v>
      </c>
    </row>
    <row r="1413" spans="1:1">
      <c r="A1413">
        <v>8112</v>
      </c>
    </row>
    <row r="1414" spans="1:1">
      <c r="A1414">
        <v>8114</v>
      </c>
    </row>
    <row r="1415" spans="1:1">
      <c r="A1415">
        <v>8121</v>
      </c>
    </row>
    <row r="1416" spans="1:1">
      <c r="A1416">
        <v>8131</v>
      </c>
    </row>
    <row r="1417" spans="1:1">
      <c r="A1417">
        <v>8147</v>
      </c>
    </row>
    <row r="1418" spans="1:1">
      <c r="A1418">
        <v>8150</v>
      </c>
    </row>
    <row r="1419" spans="1:1">
      <c r="A1419">
        <v>8155</v>
      </c>
    </row>
    <row r="1420" spans="1:1">
      <c r="A1420">
        <v>8163</v>
      </c>
    </row>
    <row r="1421" spans="1:1">
      <c r="A1421">
        <v>8171</v>
      </c>
    </row>
    <row r="1422" spans="1:1">
      <c r="A1422">
        <v>8176</v>
      </c>
    </row>
    <row r="1423" spans="1:1">
      <c r="A1423">
        <v>8182</v>
      </c>
    </row>
    <row r="1424" spans="1:1">
      <c r="A1424">
        <v>8183</v>
      </c>
    </row>
    <row r="1425" spans="1:1">
      <c r="A1425">
        <v>8201</v>
      </c>
    </row>
    <row r="1426" spans="1:1">
      <c r="A1426">
        <v>8210</v>
      </c>
    </row>
    <row r="1427" spans="1:1">
      <c r="A1427">
        <v>8213</v>
      </c>
    </row>
    <row r="1428" spans="1:1">
      <c r="A1428">
        <v>8215</v>
      </c>
    </row>
    <row r="1429" spans="1:1">
      <c r="A1429">
        <v>8222</v>
      </c>
    </row>
    <row r="1430" spans="1:1">
      <c r="A1430">
        <v>8234</v>
      </c>
    </row>
    <row r="1431" spans="1:1">
      <c r="A1431">
        <v>8240</v>
      </c>
    </row>
    <row r="1432" spans="1:1">
      <c r="A1432">
        <v>8249</v>
      </c>
    </row>
    <row r="1433" spans="1:1">
      <c r="A1433">
        <v>8255</v>
      </c>
    </row>
    <row r="1434" spans="1:1">
      <c r="A1434">
        <v>8261</v>
      </c>
    </row>
    <row r="1435" spans="1:1">
      <c r="A1435">
        <v>8266</v>
      </c>
    </row>
    <row r="1436" spans="1:1">
      <c r="A1436">
        <v>8271</v>
      </c>
    </row>
    <row r="1437" spans="1:1">
      <c r="A1437">
        <v>8277</v>
      </c>
    </row>
    <row r="1438" spans="1:1">
      <c r="A1438">
        <v>8287</v>
      </c>
    </row>
    <row r="1439" spans="1:1">
      <c r="A1439">
        <v>8289</v>
      </c>
    </row>
    <row r="1440" spans="1:1">
      <c r="A1440">
        <v>8291</v>
      </c>
    </row>
    <row r="1441" spans="1:1">
      <c r="A1441">
        <v>8299</v>
      </c>
    </row>
    <row r="1442" spans="1:1">
      <c r="A1442">
        <v>8341</v>
      </c>
    </row>
    <row r="1443" spans="1:1">
      <c r="A1443">
        <v>8349</v>
      </c>
    </row>
    <row r="1444" spans="1:1">
      <c r="A1444">
        <v>8354</v>
      </c>
    </row>
    <row r="1445" spans="1:1">
      <c r="A1445">
        <v>8358</v>
      </c>
    </row>
    <row r="1446" spans="1:1">
      <c r="A1446">
        <v>8374</v>
      </c>
    </row>
    <row r="1447" spans="1:1">
      <c r="A1447">
        <v>8383</v>
      </c>
    </row>
    <row r="1448" spans="1:1">
      <c r="A1448">
        <v>8390</v>
      </c>
    </row>
    <row r="1449" spans="1:1">
      <c r="A1449">
        <v>8401</v>
      </c>
    </row>
    <row r="1450" spans="1:1">
      <c r="A1450">
        <v>8403</v>
      </c>
    </row>
    <row r="1451" spans="1:1">
      <c r="A1451">
        <v>8404</v>
      </c>
    </row>
    <row r="1452" spans="1:1">
      <c r="A1452">
        <v>8406</v>
      </c>
    </row>
    <row r="1453" spans="1:1">
      <c r="A1453">
        <v>8409</v>
      </c>
    </row>
    <row r="1454" spans="1:1">
      <c r="A1454">
        <v>8410</v>
      </c>
    </row>
    <row r="1455" spans="1:1">
      <c r="A1455">
        <v>8411</v>
      </c>
    </row>
    <row r="1456" spans="1:1">
      <c r="A1456">
        <v>8416</v>
      </c>
    </row>
    <row r="1457" spans="1:1">
      <c r="A1457">
        <v>8418</v>
      </c>
    </row>
    <row r="1458" spans="1:1">
      <c r="A1458">
        <v>8420</v>
      </c>
    </row>
    <row r="1459" spans="1:1">
      <c r="A1459">
        <v>8421</v>
      </c>
    </row>
    <row r="1460" spans="1:1">
      <c r="A1460">
        <v>8422</v>
      </c>
    </row>
    <row r="1461" spans="1:1">
      <c r="A1461">
        <v>8423</v>
      </c>
    </row>
    <row r="1462" spans="1:1">
      <c r="A1462">
        <v>8424</v>
      </c>
    </row>
    <row r="1463" spans="1:1">
      <c r="A1463">
        <v>8426</v>
      </c>
    </row>
    <row r="1464" spans="1:1">
      <c r="A1464">
        <v>8427</v>
      </c>
    </row>
    <row r="1465" spans="1:1">
      <c r="A1465">
        <v>8429</v>
      </c>
    </row>
    <row r="1466" spans="1:1">
      <c r="A1466">
        <v>8431</v>
      </c>
    </row>
    <row r="1467" spans="1:1">
      <c r="A1467">
        <v>8432</v>
      </c>
    </row>
    <row r="1468" spans="1:1">
      <c r="A1468">
        <v>8433</v>
      </c>
    </row>
    <row r="1469" spans="1:1">
      <c r="A1469">
        <v>8435</v>
      </c>
    </row>
    <row r="1470" spans="1:1">
      <c r="A1470">
        <v>8436</v>
      </c>
    </row>
    <row r="1471" spans="1:1">
      <c r="A1471">
        <v>8443</v>
      </c>
    </row>
    <row r="1472" spans="1:1">
      <c r="A1472">
        <v>8446</v>
      </c>
    </row>
    <row r="1473" spans="1:1">
      <c r="A1473">
        <v>8450</v>
      </c>
    </row>
    <row r="1474" spans="1:1">
      <c r="A1474">
        <v>8454</v>
      </c>
    </row>
    <row r="1475" spans="1:1">
      <c r="A1475">
        <v>8905</v>
      </c>
    </row>
    <row r="1476" spans="1:1">
      <c r="A1476">
        <v>8906</v>
      </c>
    </row>
    <row r="1477" spans="1:1">
      <c r="A1477">
        <v>8908</v>
      </c>
    </row>
    <row r="1478" spans="1:1">
      <c r="A1478">
        <v>8913</v>
      </c>
    </row>
    <row r="1479" spans="1:1">
      <c r="A1479">
        <v>8916</v>
      </c>
    </row>
    <row r="1480" spans="1:1">
      <c r="A1480">
        <v>8917</v>
      </c>
    </row>
    <row r="1481" spans="1:1">
      <c r="A1481">
        <v>8921</v>
      </c>
    </row>
    <row r="1482" spans="1:1">
      <c r="A1482">
        <v>8923</v>
      </c>
    </row>
    <row r="1483" spans="1:1">
      <c r="A1483">
        <v>8924</v>
      </c>
    </row>
    <row r="1484" spans="1:1">
      <c r="A1484">
        <v>8925</v>
      </c>
    </row>
    <row r="1485" spans="1:1">
      <c r="A1485">
        <v>8926</v>
      </c>
    </row>
    <row r="1486" spans="1:1">
      <c r="A1486">
        <v>8927</v>
      </c>
    </row>
    <row r="1487" spans="1:1">
      <c r="A1487">
        <v>8928</v>
      </c>
    </row>
    <row r="1488" spans="1:1">
      <c r="A1488">
        <v>8929</v>
      </c>
    </row>
    <row r="1489" spans="1:1">
      <c r="A1489">
        <v>8930</v>
      </c>
    </row>
    <row r="1490" spans="1:1">
      <c r="A1490">
        <v>8931</v>
      </c>
    </row>
    <row r="1491" spans="1:1">
      <c r="A1491">
        <v>8932</v>
      </c>
    </row>
    <row r="1492" spans="1:1">
      <c r="A1492">
        <v>8933</v>
      </c>
    </row>
    <row r="1493" spans="1:1">
      <c r="A1493">
        <v>8934</v>
      </c>
    </row>
    <row r="1494" spans="1:1">
      <c r="A1494">
        <v>8935</v>
      </c>
    </row>
    <row r="1495" spans="1:1">
      <c r="A1495">
        <v>8936</v>
      </c>
    </row>
    <row r="1496" spans="1:1">
      <c r="A1496">
        <v>8937</v>
      </c>
    </row>
    <row r="1497" spans="1:1">
      <c r="A1497">
        <v>8938</v>
      </c>
    </row>
    <row r="1498" spans="1:1">
      <c r="A1498">
        <v>8940</v>
      </c>
    </row>
    <row r="1499" spans="1:1">
      <c r="A1499">
        <v>8941</v>
      </c>
    </row>
    <row r="1500" spans="1:1">
      <c r="A1500">
        <v>8942</v>
      </c>
    </row>
    <row r="1501" spans="1:1">
      <c r="A1501">
        <v>8996</v>
      </c>
    </row>
    <row r="1502" spans="1:1">
      <c r="A1502">
        <v>9802</v>
      </c>
    </row>
    <row r="1503" spans="1:1">
      <c r="A1503">
        <v>9902</v>
      </c>
    </row>
    <row r="1504" spans="1:1">
      <c r="A1504">
        <v>9904</v>
      </c>
    </row>
    <row r="1505" spans="1:1">
      <c r="A1505">
        <v>9905</v>
      </c>
    </row>
    <row r="1506" spans="1:1">
      <c r="A1506">
        <v>9906</v>
      </c>
    </row>
    <row r="1507" spans="1:1">
      <c r="A1507">
        <v>9907</v>
      </c>
    </row>
    <row r="1508" spans="1:1">
      <c r="A1508">
        <v>9908</v>
      </c>
    </row>
    <row r="1509" spans="1:1">
      <c r="A1509">
        <v>9910</v>
      </c>
    </row>
    <row r="1510" spans="1:1">
      <c r="A1510">
        <v>9911</v>
      </c>
    </row>
    <row r="1511" spans="1:1">
      <c r="A1511">
        <v>9912</v>
      </c>
    </row>
    <row r="1512" spans="1:1">
      <c r="A1512">
        <v>9914</v>
      </c>
    </row>
    <row r="1513" spans="1:1">
      <c r="A1513">
        <v>9917</v>
      </c>
    </row>
    <row r="1514" spans="1:1">
      <c r="A1514">
        <v>9918</v>
      </c>
    </row>
    <row r="1515" spans="1:1">
      <c r="A1515">
        <v>9919</v>
      </c>
    </row>
    <row r="1516" spans="1:1">
      <c r="A1516">
        <v>9921</v>
      </c>
    </row>
    <row r="1517" spans="1:1">
      <c r="A1517">
        <v>9924</v>
      </c>
    </row>
    <row r="1518" spans="1:1">
      <c r="A1518">
        <v>9925</v>
      </c>
    </row>
    <row r="1519" spans="1:1">
      <c r="A1519">
        <v>9926</v>
      </c>
    </row>
    <row r="1520" spans="1:1">
      <c r="A1520">
        <v>9927</v>
      </c>
    </row>
    <row r="1521" spans="1:1">
      <c r="A1521">
        <v>9928</v>
      </c>
    </row>
    <row r="1522" spans="1:1">
      <c r="A1522">
        <v>9929</v>
      </c>
    </row>
    <row r="1523" spans="1:1">
      <c r="A1523">
        <v>9930</v>
      </c>
    </row>
    <row r="1524" spans="1:1">
      <c r="A1524">
        <v>9931</v>
      </c>
    </row>
    <row r="1525" spans="1:1">
      <c r="A1525">
        <v>9933</v>
      </c>
    </row>
    <row r="1526" spans="1:1">
      <c r="A1526">
        <v>9934</v>
      </c>
    </row>
    <row r="1527" spans="1:1">
      <c r="A1527">
        <v>9935</v>
      </c>
    </row>
    <row r="1528" spans="1:1">
      <c r="A1528">
        <v>9937</v>
      </c>
    </row>
    <row r="1529" spans="1:1">
      <c r="A1529">
        <v>9938</v>
      </c>
    </row>
    <row r="1530" spans="1:1">
      <c r="A1530">
        <v>9939</v>
      </c>
    </row>
    <row r="1531" spans="1:1">
      <c r="A1531">
        <v>9940</v>
      </c>
    </row>
    <row r="1532" spans="1:1">
      <c r="A1532">
        <v>9941</v>
      </c>
    </row>
    <row r="1533" spans="1:1">
      <c r="A1533">
        <v>9942</v>
      </c>
    </row>
    <row r="1534" spans="1:1">
      <c r="A1534">
        <v>9943</v>
      </c>
    </row>
    <row r="1535" spans="1:1">
      <c r="A1535">
        <v>9944</v>
      </c>
    </row>
    <row r="1536" spans="1:1">
      <c r="A1536">
        <v>9945</v>
      </c>
    </row>
    <row r="1537" spans="1:1">
      <c r="A1537">
        <v>9946</v>
      </c>
    </row>
    <row r="1538" spans="1:1">
      <c r="A1538">
        <v>9949</v>
      </c>
    </row>
    <row r="1539" spans="1:1">
      <c r="A1539">
        <v>9950</v>
      </c>
    </row>
    <row r="1540" spans="1:1">
      <c r="A1540">
        <v>9951</v>
      </c>
    </row>
    <row r="1541" spans="1:1">
      <c r="A1541">
        <v>9955</v>
      </c>
    </row>
    <row r="1542" spans="1:1">
      <c r="A1542">
        <v>9958</v>
      </c>
    </row>
    <row r="1543" spans="1:1">
      <c r="A1543">
        <v>9960</v>
      </c>
    </row>
    <row r="1544" spans="1:1">
      <c r="A1544">
        <v>9962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11</xdr:col>
                <xdr:colOff>28575</xdr:colOff>
                <xdr:row>0</xdr:row>
                <xdr:rowOff>9525</xdr:rowOff>
              </from>
              <to>
                <xdr:col>11</xdr:col>
                <xdr:colOff>742950</xdr:colOff>
                <xdr:row>0</xdr:row>
                <xdr:rowOff>333375</xdr:rowOff>
              </to>
            </anchor>
          </controlPr>
        </control>
      </mc:Choice>
      <mc:Fallback>
        <control shapeId="5121" r:id="rId4" name="CommandButton1"/>
      </mc:Fallback>
    </mc:AlternateContent>
    <mc:AlternateContent xmlns:mc="http://schemas.openxmlformats.org/markup-compatibility/2006">
      <mc:Choice Requires="x14">
        <control shapeId="5122" r:id="rId6" name="CommandButton2">
          <controlPr defaultSize="0" autoLine="0" r:id="rId7">
            <anchor moveWithCells="1">
              <from>
                <xdr:col>12</xdr:col>
                <xdr:colOff>38100</xdr:colOff>
                <xdr:row>0</xdr:row>
                <xdr:rowOff>19050</xdr:rowOff>
              </from>
              <to>
                <xdr:col>12</xdr:col>
                <xdr:colOff>733425</xdr:colOff>
                <xdr:row>0</xdr:row>
                <xdr:rowOff>342900</xdr:rowOff>
              </to>
            </anchor>
          </controlPr>
        </control>
      </mc:Choice>
      <mc:Fallback>
        <control shapeId="5122" r:id="rId6" name="CommandButton2"/>
      </mc:Fallback>
    </mc:AlternateContent>
    <mc:AlternateContent xmlns:mc="http://schemas.openxmlformats.org/markup-compatibility/2006">
      <mc:Choice Requires="x14">
        <control shapeId="5123" r:id="rId8" name="CommandButton3">
          <controlPr defaultSize="0" autoLine="0" autoPict="0" r:id="rId9">
            <anchor moveWithCells="1">
              <from>
                <xdr:col>13</xdr:col>
                <xdr:colOff>19050</xdr:colOff>
                <xdr:row>0</xdr:row>
                <xdr:rowOff>19050</xdr:rowOff>
              </from>
              <to>
                <xdr:col>13</xdr:col>
                <xdr:colOff>809625</xdr:colOff>
                <xdr:row>0</xdr:row>
                <xdr:rowOff>333375</xdr:rowOff>
              </to>
            </anchor>
          </controlPr>
        </control>
      </mc:Choice>
      <mc:Fallback>
        <control shapeId="5123" r:id="rId8" name="Command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評比系統"/>
  <dimension ref="A1:AB78"/>
  <sheetViews>
    <sheetView zoomScaleNormal="100" workbookViewId="0">
      <pane xSplit="13" ySplit="3" topLeftCell="N9" activePane="bottomRight" state="frozen"/>
      <selection pane="topRight" activeCell="N1" sqref="N1"/>
      <selection pane="bottomLeft" activeCell="A4" sqref="A4"/>
      <selection pane="bottomRight" activeCell="B17" sqref="B17"/>
    </sheetView>
  </sheetViews>
  <sheetFormatPr defaultRowHeight="19.5"/>
  <cols>
    <col min="1" max="1" width="9.625" style="43" customWidth="1"/>
    <col min="2" max="2" width="9.625" style="48" customWidth="1"/>
    <col min="3" max="3" width="6.25" style="43" bestFit="1" customWidth="1"/>
    <col min="4" max="4" width="6.875" style="43" bestFit="1" customWidth="1"/>
    <col min="5" max="5" width="9.375" style="43" bestFit="1" customWidth="1"/>
    <col min="6" max="7" width="6.875" style="43" bestFit="1" customWidth="1"/>
    <col min="8" max="11" width="6" style="45" bestFit="1" customWidth="1"/>
    <col min="12" max="12" width="6" style="45" customWidth="1"/>
    <col min="13" max="13" width="6" style="45" bestFit="1" customWidth="1"/>
    <col min="14" max="14" width="6.375" style="43" bestFit="1" customWidth="1"/>
    <col min="15" max="15" width="9.375" style="44" bestFit="1" customWidth="1"/>
    <col min="16" max="16" width="7.25" style="44" customWidth="1"/>
    <col min="17" max="17" width="7.25" style="51" customWidth="1"/>
    <col min="18" max="18" width="8.25" style="44" bestFit="1" customWidth="1"/>
    <col min="19" max="19" width="34.375" style="43" bestFit="1" customWidth="1"/>
  </cols>
  <sheetData>
    <row r="1" spans="1:28" ht="21.75" thickBot="1">
      <c r="A1" s="247">
        <f ca="1">NOW()</f>
        <v>42225.661030787036</v>
      </c>
      <c r="B1" s="248"/>
      <c r="C1" s="249" t="s">
        <v>66</v>
      </c>
      <c r="D1" s="249"/>
      <c r="E1" s="249"/>
      <c r="F1" s="249"/>
      <c r="G1" s="249"/>
      <c r="H1" s="249"/>
      <c r="I1" s="249"/>
      <c r="J1" s="249"/>
      <c r="K1" s="249"/>
      <c r="L1" s="249"/>
      <c r="M1" s="249"/>
      <c r="N1" s="250"/>
      <c r="O1" s="250"/>
      <c r="P1" s="55"/>
      <c r="Q1" s="56"/>
      <c r="R1" s="57"/>
      <c r="S1" s="58"/>
      <c r="T1" s="94" t="s">
        <v>287</v>
      </c>
      <c r="U1" s="94" t="s">
        <v>288</v>
      </c>
      <c r="V1" s="94" t="s">
        <v>289</v>
      </c>
      <c r="W1" s="94" t="s">
        <v>290</v>
      </c>
      <c r="X1" s="94" t="s">
        <v>291</v>
      </c>
      <c r="Y1" s="94" t="s">
        <v>292</v>
      </c>
      <c r="Z1" s="94" t="s">
        <v>293</v>
      </c>
      <c r="AA1" s="94" t="s">
        <v>294</v>
      </c>
      <c r="AB1" s="94" t="s">
        <v>295</v>
      </c>
    </row>
    <row r="2" spans="1:28">
      <c r="A2" s="251" t="s">
        <v>53</v>
      </c>
      <c r="B2" s="252"/>
      <c r="C2" s="253" t="s">
        <v>39</v>
      </c>
      <c r="D2" s="254"/>
      <c r="E2" s="254"/>
      <c r="F2" s="254"/>
      <c r="G2" s="255"/>
      <c r="H2" s="256" t="s">
        <v>40</v>
      </c>
      <c r="I2" s="257"/>
      <c r="J2" s="258" t="s">
        <v>41</v>
      </c>
      <c r="K2" s="259"/>
      <c r="L2" s="260"/>
      <c r="M2" s="28" t="s">
        <v>42</v>
      </c>
      <c r="N2" s="261" t="s">
        <v>43</v>
      </c>
      <c r="O2" s="262"/>
      <c r="P2" s="262"/>
      <c r="Q2" s="262"/>
      <c r="R2" s="263"/>
      <c r="S2" s="29" t="s">
        <v>44</v>
      </c>
      <c r="T2" s="94" t="s">
        <v>296</v>
      </c>
      <c r="U2" s="94">
        <v>47.55</v>
      </c>
      <c r="V2" s="94">
        <v>46.8</v>
      </c>
      <c r="W2" s="94">
        <v>46.14</v>
      </c>
      <c r="X2" s="94">
        <v>45.3</v>
      </c>
      <c r="Y2" s="94">
        <v>45.78</v>
      </c>
      <c r="Z2" s="94">
        <v>47.48</v>
      </c>
      <c r="AA2" s="94">
        <v>43.18</v>
      </c>
      <c r="AB2" s="94">
        <v>38.1</v>
      </c>
    </row>
    <row r="3" spans="1:28" ht="20.25" thickBot="1">
      <c r="A3" s="46" t="s">
        <v>54</v>
      </c>
      <c r="B3" s="47" t="s">
        <v>55</v>
      </c>
      <c r="C3" s="30" t="s">
        <v>56</v>
      </c>
      <c r="D3" s="31" t="s">
        <v>57</v>
      </c>
      <c r="E3" s="31" t="s">
        <v>58</v>
      </c>
      <c r="F3" s="31" t="s">
        <v>59</v>
      </c>
      <c r="G3" s="32" t="s">
        <v>60</v>
      </c>
      <c r="H3" s="33" t="s">
        <v>45</v>
      </c>
      <c r="I3" s="34" t="s">
        <v>67</v>
      </c>
      <c r="J3" s="35" t="s">
        <v>46</v>
      </c>
      <c r="K3" s="36" t="s">
        <v>47</v>
      </c>
      <c r="L3" s="37" t="s">
        <v>48</v>
      </c>
      <c r="M3" s="38" t="s">
        <v>49</v>
      </c>
      <c r="N3" s="39" t="s">
        <v>50</v>
      </c>
      <c r="O3" s="40" t="s">
        <v>51</v>
      </c>
      <c r="P3" s="49" t="s">
        <v>61</v>
      </c>
      <c r="Q3" s="50" t="s">
        <v>62</v>
      </c>
      <c r="R3" s="41" t="s">
        <v>52</v>
      </c>
      <c r="S3" s="42" t="s">
        <v>71</v>
      </c>
      <c r="T3" s="94" t="s">
        <v>297</v>
      </c>
      <c r="U3" s="94">
        <v>47.55</v>
      </c>
      <c r="V3" s="94">
        <v>46.03</v>
      </c>
      <c r="W3" s="94">
        <v>45.63</v>
      </c>
      <c r="X3" s="94">
        <v>45.05</v>
      </c>
      <c r="Y3" s="94">
        <v>45.49</v>
      </c>
      <c r="Z3" s="94">
        <v>47.52</v>
      </c>
      <c r="AA3" s="94">
        <v>43.1</v>
      </c>
      <c r="AB3" s="94">
        <v>38.020000000000003</v>
      </c>
    </row>
    <row r="4" spans="1:28">
      <c r="A4" s="77">
        <v>2474</v>
      </c>
      <c r="B4" s="78" t="str">
        <f>HYPERLINK("http://www.wantgoo.com/stock/chart.aspx?stockno=2474","可成")</f>
        <v>可成</v>
      </c>
      <c r="C4" s="52">
        <v>0</v>
      </c>
      <c r="D4" s="52">
        <v>1</v>
      </c>
      <c r="E4" s="52">
        <v>0</v>
      </c>
      <c r="F4" s="52">
        <v>1</v>
      </c>
      <c r="G4" s="52">
        <v>1</v>
      </c>
      <c r="H4" s="68">
        <v>1</v>
      </c>
      <c r="I4" s="68"/>
      <c r="J4" s="68"/>
      <c r="K4" s="68"/>
      <c r="L4" s="68"/>
      <c r="M4" s="68"/>
      <c r="N4" s="52">
        <f t="shared" ref="N4:N24" si="0">SUM(C4:M4)</f>
        <v>4</v>
      </c>
      <c r="O4" s="53">
        <v>14.1</v>
      </c>
      <c r="P4" s="53"/>
      <c r="Q4" s="54"/>
      <c r="R4" s="53"/>
      <c r="S4" s="52" t="s">
        <v>73</v>
      </c>
    </row>
    <row r="5" spans="1:28">
      <c r="A5" s="77">
        <v>3675</v>
      </c>
      <c r="B5" s="78" t="str">
        <f>HYPERLINK("http://www.wantgoo.com/stock/chart.aspx?stockno=3675","德微")</f>
        <v>德微</v>
      </c>
      <c r="C5" s="52">
        <v>0</v>
      </c>
      <c r="D5" s="52">
        <v>1</v>
      </c>
      <c r="E5" s="52">
        <v>2</v>
      </c>
      <c r="F5" s="52">
        <v>2</v>
      </c>
      <c r="G5" s="52">
        <v>0</v>
      </c>
      <c r="H5" s="68">
        <v>1</v>
      </c>
      <c r="I5" s="68"/>
      <c r="J5" s="68"/>
      <c r="K5" s="68"/>
      <c r="L5" s="68"/>
      <c r="M5" s="68"/>
      <c r="N5" s="52">
        <f t="shared" si="0"/>
        <v>6</v>
      </c>
      <c r="O5" s="53">
        <v>17.7</v>
      </c>
      <c r="P5" s="53"/>
      <c r="Q5" s="54"/>
      <c r="R5" s="53"/>
      <c r="S5" s="52" t="s">
        <v>74</v>
      </c>
    </row>
    <row r="6" spans="1:28">
      <c r="A6" s="52">
        <v>1516</v>
      </c>
      <c r="B6" s="79" t="str">
        <f>HYPERLINK("http://www.wantgoo.com/stock/chart.aspx?stockno=1516","川飛")</f>
        <v>川飛</v>
      </c>
      <c r="C6" s="52">
        <v>1</v>
      </c>
      <c r="D6" s="52">
        <v>1</v>
      </c>
      <c r="E6" s="52">
        <v>1</v>
      </c>
      <c r="F6" s="52">
        <v>1</v>
      </c>
      <c r="G6" s="52">
        <v>0</v>
      </c>
      <c r="H6" s="68">
        <v>1</v>
      </c>
      <c r="I6" s="68"/>
      <c r="J6" s="68"/>
      <c r="K6" s="68"/>
      <c r="L6" s="68"/>
      <c r="M6" s="68"/>
      <c r="N6" s="52">
        <f t="shared" si="0"/>
        <v>5</v>
      </c>
      <c r="O6" s="53">
        <v>2</v>
      </c>
      <c r="P6" s="53"/>
      <c r="Q6" s="54"/>
      <c r="R6" s="53"/>
      <c r="S6" s="52" t="s">
        <v>75</v>
      </c>
    </row>
    <row r="7" spans="1:28">
      <c r="A7" s="77">
        <v>2108</v>
      </c>
      <c r="B7" s="78" t="str">
        <f>HYPERLINK("http://www.wantgoo.com/stock/chart.aspx?stockno=2108","南帝")</f>
        <v>南帝</v>
      </c>
      <c r="C7" s="52">
        <v>1</v>
      </c>
      <c r="D7" s="52">
        <v>1</v>
      </c>
      <c r="E7" s="52">
        <v>2</v>
      </c>
      <c r="F7" s="52">
        <v>2</v>
      </c>
      <c r="G7" s="52">
        <v>0</v>
      </c>
      <c r="H7" s="68">
        <v>1</v>
      </c>
      <c r="I7" s="68"/>
      <c r="J7" s="68"/>
      <c r="K7" s="68"/>
      <c r="L7" s="68"/>
      <c r="M7" s="68"/>
      <c r="N7" s="52">
        <f t="shared" si="0"/>
        <v>7</v>
      </c>
      <c r="O7" s="53">
        <v>11.2</v>
      </c>
      <c r="P7" s="53"/>
      <c r="Q7" s="54"/>
      <c r="R7" s="53"/>
      <c r="S7" s="52" t="s">
        <v>218</v>
      </c>
    </row>
    <row r="8" spans="1:28">
      <c r="A8" s="52">
        <v>3481</v>
      </c>
      <c r="B8" s="79" t="str">
        <f>HYPERLINK("http://www.wantgoo.com/stock/chart.aspx?stockno=3481","群創")</f>
        <v>群創</v>
      </c>
      <c r="C8" s="52">
        <v>0</v>
      </c>
      <c r="D8" s="52">
        <v>1</v>
      </c>
      <c r="E8" s="52">
        <v>0</v>
      </c>
      <c r="F8" s="52">
        <v>2</v>
      </c>
      <c r="G8" s="52">
        <v>1</v>
      </c>
      <c r="H8" s="68">
        <v>1</v>
      </c>
      <c r="I8" s="68"/>
      <c r="J8" s="68"/>
      <c r="K8" s="68"/>
      <c r="L8" s="68"/>
      <c r="M8" s="68"/>
      <c r="N8" s="52">
        <f t="shared" si="0"/>
        <v>5</v>
      </c>
      <c r="O8" s="53">
        <v>4.9000000000000004</v>
      </c>
      <c r="P8" s="53"/>
      <c r="Q8" s="54"/>
      <c r="R8" s="53"/>
      <c r="S8" s="52" t="s">
        <v>77</v>
      </c>
    </row>
    <row r="9" spans="1:28">
      <c r="A9" s="52">
        <v>2637</v>
      </c>
      <c r="B9" s="79" t="str">
        <f>HYPERLINK("http://www.wantgoo.com/stock/chart.aspx?stockno=2637","F-")</f>
        <v>F-</v>
      </c>
      <c r="C9" s="52">
        <v>0</v>
      </c>
      <c r="D9" s="52">
        <v>1</v>
      </c>
      <c r="E9" s="52">
        <v>1</v>
      </c>
      <c r="F9" s="52">
        <v>2</v>
      </c>
      <c r="G9" s="52">
        <v>0</v>
      </c>
      <c r="H9" s="68">
        <v>1</v>
      </c>
      <c r="I9" s="68"/>
      <c r="J9" s="68"/>
      <c r="K9" s="68"/>
      <c r="L9" s="68"/>
      <c r="M9" s="68"/>
      <c r="N9" s="52">
        <f t="shared" si="0"/>
        <v>5</v>
      </c>
      <c r="O9" s="53">
        <v>9.3000000000000007</v>
      </c>
      <c r="P9" s="53"/>
      <c r="Q9" s="54"/>
      <c r="R9" s="53"/>
      <c r="S9" s="52" t="s">
        <v>78</v>
      </c>
    </row>
    <row r="10" spans="1:28">
      <c r="A10" s="52">
        <v>3499</v>
      </c>
      <c r="B10" s="79" t="str">
        <f>HYPERLINK("http://www.wantgoo.com/stock/chart.aspx?stockno=3499","環天")</f>
        <v>環天</v>
      </c>
      <c r="C10" s="52">
        <v>0</v>
      </c>
      <c r="D10" s="52">
        <v>1</v>
      </c>
      <c r="E10" s="52">
        <v>2</v>
      </c>
      <c r="F10" s="52">
        <v>0</v>
      </c>
      <c r="G10" s="52">
        <v>0</v>
      </c>
      <c r="H10" s="80">
        <v>1</v>
      </c>
      <c r="I10" s="80"/>
      <c r="J10" s="80"/>
      <c r="K10" s="80"/>
      <c r="L10" s="80"/>
      <c r="M10" s="80"/>
      <c r="N10" s="52">
        <f t="shared" si="0"/>
        <v>4</v>
      </c>
      <c r="O10" s="53">
        <v>390</v>
      </c>
      <c r="P10" s="53"/>
      <c r="Q10" s="54"/>
      <c r="R10" s="53"/>
      <c r="S10" s="52" t="s">
        <v>79</v>
      </c>
    </row>
    <row r="11" spans="1:28">
      <c r="A11" s="77">
        <v>4971</v>
      </c>
      <c r="B11" s="78" t="str">
        <f>HYPERLINK("http://www.wantgoo.com/stock/chart.aspx?stockno=4971","F-")</f>
        <v>F-</v>
      </c>
      <c r="C11" s="52">
        <v>0</v>
      </c>
      <c r="D11" s="52">
        <v>1</v>
      </c>
      <c r="E11" s="52">
        <v>2</v>
      </c>
      <c r="F11" s="52">
        <v>1</v>
      </c>
      <c r="G11" s="52">
        <v>0</v>
      </c>
      <c r="H11" s="68">
        <v>1</v>
      </c>
      <c r="I11" s="68"/>
      <c r="J11" s="68"/>
      <c r="K11" s="68"/>
      <c r="L11" s="68"/>
      <c r="M11" s="68"/>
      <c r="N11" s="52">
        <f t="shared" si="0"/>
        <v>5</v>
      </c>
      <c r="O11" s="53">
        <v>13.3</v>
      </c>
      <c r="P11" s="53"/>
      <c r="Q11" s="54"/>
      <c r="R11" s="53"/>
      <c r="S11" s="52" t="s">
        <v>81</v>
      </c>
    </row>
    <row r="12" spans="1:28">
      <c r="A12" s="52">
        <v>5315</v>
      </c>
      <c r="B12" s="79" t="str">
        <f>HYPERLINK("http://www.wantgoo.com/stock/chart.aspx?stockno=5315","光聯")</f>
        <v>光聯</v>
      </c>
      <c r="C12" s="52">
        <v>1</v>
      </c>
      <c r="D12" s="52">
        <v>1</v>
      </c>
      <c r="E12" s="52">
        <v>2</v>
      </c>
      <c r="F12" s="52">
        <v>1</v>
      </c>
      <c r="G12" s="52">
        <v>0</v>
      </c>
      <c r="H12" s="68">
        <v>1</v>
      </c>
      <c r="I12" s="68"/>
      <c r="J12" s="68"/>
      <c r="K12" s="68"/>
      <c r="L12" s="68"/>
      <c r="M12" s="68"/>
      <c r="N12" s="52">
        <f t="shared" si="0"/>
        <v>6</v>
      </c>
      <c r="O12" s="53">
        <v>7.1</v>
      </c>
      <c r="P12" s="53"/>
      <c r="Q12" s="54"/>
      <c r="R12" s="53"/>
      <c r="S12" s="52" t="s">
        <v>82</v>
      </c>
    </row>
    <row r="13" spans="1:28">
      <c r="A13" s="52">
        <v>6269</v>
      </c>
      <c r="B13" s="79" t="str">
        <f>HYPERLINK("http://www.wantgoo.com/stock/chart.aspx?stockno=6269","台郡")</f>
        <v>台郡</v>
      </c>
      <c r="C13" s="52">
        <v>0</v>
      </c>
      <c r="D13" s="52">
        <v>1</v>
      </c>
      <c r="E13" s="52">
        <v>0</v>
      </c>
      <c r="F13" s="52">
        <v>2</v>
      </c>
      <c r="G13" s="52">
        <v>0</v>
      </c>
      <c r="H13" s="68">
        <v>1</v>
      </c>
      <c r="I13" s="68"/>
      <c r="J13" s="68"/>
      <c r="K13" s="68"/>
      <c r="L13" s="68"/>
      <c r="M13" s="68"/>
      <c r="N13" s="52">
        <f t="shared" si="0"/>
        <v>4</v>
      </c>
      <c r="O13" s="53">
        <v>8.8000000000000007</v>
      </c>
      <c r="P13" s="53"/>
      <c r="Q13" s="54"/>
      <c r="R13" s="53"/>
      <c r="S13" s="52" t="s">
        <v>83</v>
      </c>
    </row>
    <row r="14" spans="1:28">
      <c r="A14" s="52">
        <v>6224</v>
      </c>
      <c r="B14" s="79" t="str">
        <f>HYPERLINK("http://www.wantgoo.com/stock/chart.aspx?stockno=6224","聚鼎")</f>
        <v>聚鼎</v>
      </c>
      <c r="C14" s="52">
        <v>0</v>
      </c>
      <c r="D14" s="52">
        <v>1</v>
      </c>
      <c r="E14" s="52">
        <v>0</v>
      </c>
      <c r="F14" s="52">
        <v>1</v>
      </c>
      <c r="G14" s="52">
        <v>0</v>
      </c>
      <c r="H14" s="68">
        <v>1</v>
      </c>
      <c r="I14" s="68"/>
      <c r="J14" s="68"/>
      <c r="K14" s="68"/>
      <c r="L14" s="68"/>
      <c r="M14" s="68"/>
      <c r="N14" s="52">
        <f t="shared" si="0"/>
        <v>3</v>
      </c>
      <c r="O14" s="53">
        <v>14.3</v>
      </c>
      <c r="P14" s="53"/>
      <c r="Q14" s="54"/>
      <c r="R14" s="53"/>
      <c r="S14" s="52" t="s">
        <v>85</v>
      </c>
    </row>
    <row r="15" spans="1:28">
      <c r="A15" s="77">
        <v>1521</v>
      </c>
      <c r="B15" s="78" t="str">
        <f>HYPERLINK("http://www.wantgoo.com/stock/chart.aspx?stockno=1521","大億")</f>
        <v>大億</v>
      </c>
      <c r="C15" s="52">
        <v>1</v>
      </c>
      <c r="D15" s="52">
        <v>1</v>
      </c>
      <c r="E15" s="52">
        <v>2</v>
      </c>
      <c r="F15" s="52">
        <v>1</v>
      </c>
      <c r="G15" s="52">
        <v>0</v>
      </c>
      <c r="H15" s="68">
        <v>1</v>
      </c>
      <c r="I15" s="68"/>
      <c r="J15" s="68"/>
      <c r="K15" s="68"/>
      <c r="L15" s="68"/>
      <c r="M15" s="68"/>
      <c r="N15" s="52">
        <f t="shared" si="0"/>
        <v>6</v>
      </c>
      <c r="O15" s="53">
        <v>11.6</v>
      </c>
      <c r="P15" s="53"/>
      <c r="Q15" s="54"/>
      <c r="R15" s="53"/>
      <c r="S15" s="52" t="s">
        <v>89</v>
      </c>
    </row>
    <row r="16" spans="1:28">
      <c r="A16" s="52">
        <v>1904</v>
      </c>
      <c r="B16" s="79" t="str">
        <f>HYPERLINK("http://www.wantgoo.com/stock/chart.aspx?stockno=1904","正隆")</f>
        <v>正隆</v>
      </c>
      <c r="C16" s="52">
        <v>1</v>
      </c>
      <c r="D16" s="52">
        <v>1</v>
      </c>
      <c r="E16" s="52">
        <v>0</v>
      </c>
      <c r="F16" s="52">
        <v>0</v>
      </c>
      <c r="G16" s="52">
        <v>1</v>
      </c>
      <c r="H16" s="68">
        <v>1</v>
      </c>
      <c r="I16" s="68"/>
      <c r="J16" s="68"/>
      <c r="K16" s="68"/>
      <c r="L16" s="68"/>
      <c r="M16" s="68"/>
      <c r="N16" s="52">
        <f t="shared" si="0"/>
        <v>4</v>
      </c>
      <c r="O16" s="53">
        <v>5.3</v>
      </c>
      <c r="P16" s="53"/>
      <c r="Q16" s="54"/>
      <c r="R16" s="53"/>
      <c r="S16" s="52" t="s">
        <v>91</v>
      </c>
    </row>
    <row r="17" spans="1:28">
      <c r="A17" s="52">
        <v>1307</v>
      </c>
      <c r="B17" s="79" t="str">
        <f>HYPERLINK("http://www.wantgoo.com/stock/chart.aspx?stockno=1307","三芳")</f>
        <v>三芳</v>
      </c>
      <c r="C17" s="52">
        <v>1</v>
      </c>
      <c r="D17" s="52">
        <v>1</v>
      </c>
      <c r="E17" s="52">
        <v>2</v>
      </c>
      <c r="F17" s="52">
        <v>1</v>
      </c>
      <c r="G17" s="52">
        <v>0</v>
      </c>
      <c r="H17" s="68">
        <v>1</v>
      </c>
      <c r="I17" s="68"/>
      <c r="J17" s="68"/>
      <c r="K17" s="68"/>
      <c r="L17" s="68"/>
      <c r="M17" s="68"/>
      <c r="N17" s="52">
        <f t="shared" si="0"/>
        <v>6</v>
      </c>
      <c r="O17" s="53">
        <v>15.9</v>
      </c>
      <c r="P17" s="53"/>
      <c r="Q17" s="54"/>
      <c r="R17" s="53"/>
      <c r="S17" s="52"/>
      <c r="T17" s="94" t="s">
        <v>203</v>
      </c>
      <c r="U17" s="94">
        <v>0</v>
      </c>
      <c r="V17" s="94">
        <v>0.77</v>
      </c>
      <c r="W17" s="94">
        <v>0.51</v>
      </c>
      <c r="X17" s="94">
        <v>0.25</v>
      </c>
      <c r="Y17" s="94">
        <v>0.28999999999999998</v>
      </c>
      <c r="Z17" s="94">
        <v>-0.04</v>
      </c>
      <c r="AA17" s="94">
        <v>0.08</v>
      </c>
      <c r="AB17" s="94">
        <v>0.08</v>
      </c>
    </row>
    <row r="18" spans="1:28">
      <c r="A18" s="52">
        <v>1312</v>
      </c>
      <c r="B18" s="79" t="str">
        <f>HYPERLINK("http://www.wantgoo.com/stock/chart.aspx?stockno=1312","國喬")</f>
        <v>國喬</v>
      </c>
      <c r="C18" s="52">
        <v>1</v>
      </c>
      <c r="D18" s="52">
        <v>1</v>
      </c>
      <c r="E18" s="52">
        <v>0</v>
      </c>
      <c r="F18" s="52">
        <v>2</v>
      </c>
      <c r="G18" s="52">
        <v>0</v>
      </c>
      <c r="H18" s="68">
        <v>1</v>
      </c>
      <c r="I18" s="68"/>
      <c r="J18" s="68"/>
      <c r="K18" s="68"/>
      <c r="L18" s="68"/>
      <c r="M18" s="68"/>
      <c r="N18" s="52">
        <f t="shared" si="0"/>
        <v>5</v>
      </c>
      <c r="O18" s="53">
        <v>18.7</v>
      </c>
      <c r="P18" s="53"/>
      <c r="Q18" s="54"/>
      <c r="R18" s="53"/>
      <c r="S18" s="52"/>
    </row>
    <row r="19" spans="1:28">
      <c r="A19" s="77">
        <v>1338</v>
      </c>
      <c r="B19" s="78" t="str">
        <f>HYPERLINK("http://www.wantgoo.com/stock/chart.aspx?stockno=1338","F-")</f>
        <v>F-</v>
      </c>
      <c r="C19" s="52">
        <v>0</v>
      </c>
      <c r="D19" s="52">
        <v>1</v>
      </c>
      <c r="E19" s="52">
        <v>0</v>
      </c>
      <c r="F19" s="52">
        <v>2</v>
      </c>
      <c r="G19" s="52">
        <v>0</v>
      </c>
      <c r="H19" s="68">
        <v>1</v>
      </c>
      <c r="I19" s="68"/>
      <c r="J19" s="68"/>
      <c r="K19" s="68"/>
      <c r="L19" s="68"/>
      <c r="M19" s="68"/>
      <c r="N19" s="52">
        <f t="shared" si="0"/>
        <v>4</v>
      </c>
      <c r="O19" s="53">
        <v>14</v>
      </c>
      <c r="P19" s="53"/>
      <c r="Q19" s="54"/>
      <c r="R19" s="53"/>
      <c r="S19" s="52"/>
    </row>
    <row r="20" spans="1:28">
      <c r="A20" s="52">
        <v>1539</v>
      </c>
      <c r="B20" s="79" t="str">
        <f>HYPERLINK("http://www.wantgoo.com/stock/chart.aspx?stockno=1539","巨庭")</f>
        <v>巨庭</v>
      </c>
      <c r="C20" s="52">
        <v>1</v>
      </c>
      <c r="D20" s="52">
        <v>1</v>
      </c>
      <c r="E20" s="52">
        <v>1</v>
      </c>
      <c r="F20" s="52">
        <v>1</v>
      </c>
      <c r="G20" s="52">
        <v>0</v>
      </c>
      <c r="H20" s="68">
        <v>1</v>
      </c>
      <c r="I20" s="68"/>
      <c r="J20" s="68"/>
      <c r="K20" s="68"/>
      <c r="L20" s="68"/>
      <c r="M20" s="68"/>
      <c r="N20" s="52">
        <f t="shared" si="0"/>
        <v>5</v>
      </c>
      <c r="O20" s="53">
        <v>10.5</v>
      </c>
      <c r="P20" s="53"/>
      <c r="Q20" s="54"/>
      <c r="R20" s="53"/>
      <c r="S20" s="52"/>
    </row>
    <row r="21" spans="1:28">
      <c r="A21" s="52">
        <v>1702</v>
      </c>
      <c r="B21" s="79" t="str">
        <f>HYPERLINK("http://www.wantgoo.com/stock/chart.aspx?stockno=1702","南僑")</f>
        <v>南僑</v>
      </c>
      <c r="C21" s="52">
        <v>1</v>
      </c>
      <c r="D21" s="52">
        <v>1</v>
      </c>
      <c r="E21" s="52">
        <v>0</v>
      </c>
      <c r="F21" s="52">
        <v>1</v>
      </c>
      <c r="G21" s="52">
        <v>0</v>
      </c>
      <c r="H21" s="80">
        <v>1</v>
      </c>
      <c r="I21" s="80"/>
      <c r="J21" s="80"/>
      <c r="K21" s="80"/>
      <c r="L21" s="80"/>
      <c r="M21" s="80"/>
      <c r="N21" s="52">
        <f t="shared" si="0"/>
        <v>4</v>
      </c>
      <c r="O21" s="53">
        <v>14</v>
      </c>
      <c r="P21" s="53"/>
      <c r="Q21" s="54"/>
      <c r="R21" s="53"/>
      <c r="S21" s="52"/>
    </row>
    <row r="22" spans="1:28">
      <c r="A22" s="52">
        <v>2488</v>
      </c>
      <c r="B22" s="79" t="str">
        <f>HYPERLINK("http://www.wantgoo.com/stock/chart.aspx?stockno=2488","漢平")</f>
        <v>漢平</v>
      </c>
      <c r="C22" s="52">
        <v>0</v>
      </c>
      <c r="D22" s="52">
        <v>1</v>
      </c>
      <c r="E22" s="52">
        <v>0</v>
      </c>
      <c r="F22" s="52">
        <v>0</v>
      </c>
      <c r="G22" s="52">
        <v>0</v>
      </c>
      <c r="H22" s="68">
        <v>1</v>
      </c>
      <c r="I22" s="68"/>
      <c r="J22" s="68"/>
      <c r="K22" s="68"/>
      <c r="L22" s="68"/>
      <c r="M22" s="68"/>
      <c r="N22" s="52">
        <f t="shared" si="0"/>
        <v>2</v>
      </c>
      <c r="O22" s="53">
        <v>12.7</v>
      </c>
      <c r="P22" s="53"/>
      <c r="Q22" s="54"/>
      <c r="R22" s="53"/>
      <c r="S22" s="52"/>
    </row>
    <row r="23" spans="1:28">
      <c r="A23" s="52">
        <v>3005</v>
      </c>
      <c r="B23" s="79" t="str">
        <f>HYPERLINK("http://www.wantgoo.com/stock/chart.aspx?stockno=3005","神基")</f>
        <v>神基</v>
      </c>
      <c r="C23" s="52">
        <v>0</v>
      </c>
      <c r="D23" s="52">
        <v>1</v>
      </c>
      <c r="E23" s="52">
        <v>0</v>
      </c>
      <c r="F23" s="52">
        <v>2</v>
      </c>
      <c r="G23" s="52">
        <v>0</v>
      </c>
      <c r="H23" s="68">
        <v>1</v>
      </c>
      <c r="I23" s="68"/>
      <c r="J23" s="68"/>
      <c r="K23" s="68"/>
      <c r="L23" s="68"/>
      <c r="M23" s="68"/>
      <c r="N23" s="52">
        <f t="shared" si="0"/>
        <v>4</v>
      </c>
      <c r="O23" s="53">
        <v>18</v>
      </c>
      <c r="P23" s="53"/>
      <c r="Q23" s="54"/>
      <c r="R23" s="53"/>
      <c r="S23" s="52"/>
    </row>
    <row r="24" spans="1:28">
      <c r="A24" s="77">
        <v>3023</v>
      </c>
      <c r="B24" s="78" t="str">
        <f>HYPERLINK("http://www.wantgoo.com/stock/chart.aspx?stockno=3023","信邦")</f>
        <v>信邦</v>
      </c>
      <c r="C24" s="52">
        <v>1</v>
      </c>
      <c r="D24" s="52">
        <v>1</v>
      </c>
      <c r="E24" s="52">
        <v>1</v>
      </c>
      <c r="F24" s="52">
        <v>1</v>
      </c>
      <c r="G24" s="52">
        <v>0</v>
      </c>
      <c r="H24" s="68">
        <v>1</v>
      </c>
      <c r="I24" s="68"/>
      <c r="J24" s="68"/>
      <c r="K24" s="68"/>
      <c r="L24" s="68"/>
      <c r="M24" s="68"/>
      <c r="N24" s="52">
        <f t="shared" si="0"/>
        <v>5</v>
      </c>
      <c r="O24" s="53">
        <v>13.9</v>
      </c>
      <c r="P24" s="53"/>
      <c r="Q24" s="54"/>
      <c r="R24" s="53"/>
      <c r="S24" s="52"/>
    </row>
    <row r="25" spans="1:28">
      <c r="A25" s="52">
        <v>3376</v>
      </c>
      <c r="B25" s="79" t="str">
        <f>HYPERLINK("http://www.wantgoo.com/stock/chart.aspx?stockno=3376","新日")</f>
        <v>新日</v>
      </c>
      <c r="C25" s="52">
        <v>0</v>
      </c>
      <c r="D25" s="52">
        <v>1</v>
      </c>
      <c r="E25" s="52">
        <v>0</v>
      </c>
      <c r="F25" s="52">
        <v>1</v>
      </c>
      <c r="G25" s="52">
        <v>0</v>
      </c>
      <c r="H25" s="80">
        <v>1</v>
      </c>
      <c r="I25" s="80"/>
      <c r="J25" s="80"/>
      <c r="K25" s="80"/>
      <c r="L25" s="80"/>
      <c r="M25" s="80"/>
      <c r="N25" s="52">
        <f>SUM(C25:L25)</f>
        <v>3</v>
      </c>
      <c r="O25" s="53">
        <v>11.3</v>
      </c>
      <c r="P25" s="53"/>
      <c r="Q25" s="54"/>
      <c r="R25" s="53"/>
      <c r="S25" s="52"/>
    </row>
    <row r="26" spans="1:28">
      <c r="A26" s="52">
        <v>3528</v>
      </c>
      <c r="B26" s="79" t="str">
        <f>HYPERLINK("http://www.wantgoo.com/stock/chart.aspx?stockno=3528","安馳")</f>
        <v>安馳</v>
      </c>
      <c r="C26" s="52">
        <v>1</v>
      </c>
      <c r="D26" s="52">
        <v>1</v>
      </c>
      <c r="E26" s="52">
        <v>0</v>
      </c>
      <c r="F26" s="52">
        <v>1</v>
      </c>
      <c r="G26" s="52">
        <v>0</v>
      </c>
      <c r="H26" s="68">
        <v>1</v>
      </c>
      <c r="I26" s="68"/>
      <c r="J26" s="68"/>
      <c r="K26" s="68"/>
      <c r="L26" s="68"/>
      <c r="M26" s="68"/>
      <c r="N26" s="52">
        <f t="shared" ref="N26:N35" si="1">SUM(C26:M26)</f>
        <v>4</v>
      </c>
      <c r="O26" s="53">
        <v>10.1</v>
      </c>
      <c r="P26" s="53"/>
      <c r="Q26" s="54"/>
      <c r="R26" s="53"/>
      <c r="S26" s="52"/>
    </row>
    <row r="27" spans="1:28">
      <c r="A27" s="52">
        <v>4127</v>
      </c>
      <c r="B27" s="79" t="str">
        <f>HYPERLINK("http://www.wantgoo.com/stock/chart.aspx?stockno=4127","天良")</f>
        <v>天良</v>
      </c>
      <c r="C27" s="52">
        <v>1</v>
      </c>
      <c r="D27" s="52">
        <v>1</v>
      </c>
      <c r="E27" s="52">
        <v>0</v>
      </c>
      <c r="F27" s="52">
        <v>1</v>
      </c>
      <c r="G27" s="52">
        <v>0</v>
      </c>
      <c r="H27" s="80">
        <v>1</v>
      </c>
      <c r="I27" s="80"/>
      <c r="J27" s="80"/>
      <c r="K27" s="80"/>
      <c r="L27" s="80"/>
      <c r="M27" s="80"/>
      <c r="N27" s="52">
        <f t="shared" si="1"/>
        <v>4</v>
      </c>
      <c r="O27" s="53">
        <v>9.1999999999999993</v>
      </c>
      <c r="P27" s="53"/>
      <c r="Q27" s="54"/>
      <c r="R27" s="53"/>
      <c r="S27" s="52"/>
    </row>
    <row r="28" spans="1:28">
      <c r="A28" s="52">
        <v>4417</v>
      </c>
      <c r="B28" s="79" t="str">
        <f>HYPERLINK("http://www.wantgoo.com/stock/chart.aspx?stockno=4417","金洲")</f>
        <v>金洲</v>
      </c>
      <c r="C28" s="52">
        <v>1</v>
      </c>
      <c r="D28" s="52">
        <v>1</v>
      </c>
      <c r="E28" s="52">
        <v>0</v>
      </c>
      <c r="F28" s="52">
        <v>1</v>
      </c>
      <c r="G28" s="52">
        <v>0</v>
      </c>
      <c r="H28" s="68">
        <v>1</v>
      </c>
      <c r="I28" s="68"/>
      <c r="J28" s="68"/>
      <c r="K28" s="68"/>
      <c r="L28" s="68"/>
      <c r="M28" s="68"/>
      <c r="N28" s="52">
        <f t="shared" si="1"/>
        <v>4</v>
      </c>
      <c r="O28" s="53">
        <v>6.5</v>
      </c>
      <c r="P28" s="53"/>
      <c r="Q28" s="54"/>
      <c r="R28" s="53"/>
      <c r="S28" s="52"/>
    </row>
    <row r="29" spans="1:28">
      <c r="A29" s="52">
        <v>4528</v>
      </c>
      <c r="B29" s="79" t="str">
        <f>HYPERLINK("http://www.wantgoo.com/stock/chart.aspx?stockno=4528","江興")</f>
        <v>江興</v>
      </c>
      <c r="C29" s="52">
        <v>1</v>
      </c>
      <c r="D29" s="52">
        <v>1</v>
      </c>
      <c r="E29" s="52">
        <v>0</v>
      </c>
      <c r="F29" s="52">
        <v>1</v>
      </c>
      <c r="G29" s="52">
        <v>0</v>
      </c>
      <c r="H29" s="68">
        <v>1</v>
      </c>
      <c r="I29" s="68"/>
      <c r="J29" s="68"/>
      <c r="K29" s="68"/>
      <c r="L29" s="68"/>
      <c r="M29" s="68"/>
      <c r="N29" s="52">
        <f t="shared" si="1"/>
        <v>4</v>
      </c>
      <c r="O29" s="53">
        <v>15.5</v>
      </c>
      <c r="P29" s="53"/>
      <c r="Q29" s="54"/>
      <c r="R29" s="53"/>
      <c r="S29" s="52"/>
    </row>
    <row r="30" spans="1:28">
      <c r="A30" s="52">
        <v>4912</v>
      </c>
      <c r="B30" s="79" t="str">
        <f>HYPERLINK("http://www.wantgoo.com/stock/chart.aspx?stockno=4912","F-")</f>
        <v>F-</v>
      </c>
      <c r="C30" s="52">
        <v>0</v>
      </c>
      <c r="D30" s="52">
        <v>1</v>
      </c>
      <c r="E30" s="52">
        <v>0</v>
      </c>
      <c r="F30" s="52">
        <v>1</v>
      </c>
      <c r="G30" s="52">
        <v>0</v>
      </c>
      <c r="H30" s="68">
        <v>1</v>
      </c>
      <c r="I30" s="68"/>
      <c r="J30" s="68"/>
      <c r="K30" s="68"/>
      <c r="L30" s="68"/>
      <c r="M30" s="68"/>
      <c r="N30" s="52">
        <f t="shared" si="1"/>
        <v>3</v>
      </c>
      <c r="O30" s="53">
        <v>13.1</v>
      </c>
      <c r="P30" s="53"/>
      <c r="Q30" s="54"/>
      <c r="R30" s="53"/>
      <c r="S30" s="52"/>
    </row>
    <row r="31" spans="1:28">
      <c r="A31" s="52">
        <v>4938</v>
      </c>
      <c r="B31" s="79" t="str">
        <f>HYPERLINK("http://www.wantgoo.com/stock/chart.aspx?stockno=4938","和碩")</f>
        <v>和碩</v>
      </c>
      <c r="C31" s="52">
        <v>0</v>
      </c>
      <c r="D31" s="52">
        <v>1</v>
      </c>
      <c r="E31" s="52">
        <v>0</v>
      </c>
      <c r="F31" s="52">
        <v>0</v>
      </c>
      <c r="G31" s="52">
        <v>0</v>
      </c>
      <c r="H31" s="68">
        <v>1</v>
      </c>
      <c r="I31" s="68"/>
      <c r="J31" s="68"/>
      <c r="K31" s="68"/>
      <c r="L31" s="68"/>
      <c r="M31" s="68"/>
      <c r="N31" s="52">
        <f t="shared" si="1"/>
        <v>2</v>
      </c>
      <c r="O31" s="53">
        <v>9</v>
      </c>
      <c r="P31" s="53"/>
      <c r="Q31" s="54"/>
      <c r="R31" s="53"/>
      <c r="S31" s="52"/>
    </row>
    <row r="32" spans="1:28">
      <c r="A32" s="52">
        <v>5276</v>
      </c>
      <c r="B32" s="79" t="str">
        <f>HYPERLINK("http://www.wantgoo.com/stock/chart.aspx?stockno=5276","F-")</f>
        <v>F-</v>
      </c>
      <c r="C32" s="52">
        <v>1</v>
      </c>
      <c r="D32" s="52">
        <v>1</v>
      </c>
      <c r="E32" s="52">
        <v>1</v>
      </c>
      <c r="F32" s="52">
        <v>0</v>
      </c>
      <c r="G32" s="52">
        <v>0</v>
      </c>
      <c r="H32" s="80">
        <v>1</v>
      </c>
      <c r="I32" s="80"/>
      <c r="J32" s="80"/>
      <c r="K32" s="80"/>
      <c r="L32" s="80"/>
      <c r="M32" s="80"/>
      <c r="N32" s="52">
        <f t="shared" si="1"/>
        <v>4</v>
      </c>
      <c r="O32" s="53">
        <v>9.1</v>
      </c>
      <c r="P32" s="53"/>
      <c r="Q32" s="54"/>
      <c r="R32" s="53"/>
      <c r="S32" s="52"/>
    </row>
    <row r="33" spans="1:19">
      <c r="A33" s="52">
        <v>6151</v>
      </c>
      <c r="B33" s="79" t="str">
        <f>HYPERLINK("http://www.wantgoo.com/stock/chart.aspx?stockno=6151","晉倫")</f>
        <v>晉倫</v>
      </c>
      <c r="C33" s="52">
        <v>1</v>
      </c>
      <c r="D33" s="52">
        <v>1</v>
      </c>
      <c r="E33" s="52">
        <v>1</v>
      </c>
      <c r="F33" s="52">
        <v>1</v>
      </c>
      <c r="G33" s="52">
        <v>0</v>
      </c>
      <c r="H33" s="68">
        <v>1</v>
      </c>
      <c r="I33" s="68"/>
      <c r="J33" s="68"/>
      <c r="K33" s="68"/>
      <c r="L33" s="68"/>
      <c r="M33" s="68"/>
      <c r="N33" s="52">
        <f t="shared" si="1"/>
        <v>5</v>
      </c>
      <c r="O33" s="53">
        <v>9</v>
      </c>
      <c r="P33" s="53"/>
      <c r="Q33" s="54"/>
      <c r="R33" s="53"/>
      <c r="S33" s="52"/>
    </row>
    <row r="34" spans="1:19">
      <c r="A34" s="77">
        <v>6238</v>
      </c>
      <c r="B34" s="78" t="str">
        <f>HYPERLINK("http://www.wantgoo.com/stock/chart.aspx?stockno=6238","勝麗")</f>
        <v>勝麗</v>
      </c>
      <c r="C34" s="52">
        <v>1</v>
      </c>
      <c r="D34" s="52">
        <v>1</v>
      </c>
      <c r="E34" s="52">
        <v>0</v>
      </c>
      <c r="F34" s="52">
        <v>1</v>
      </c>
      <c r="G34" s="52">
        <v>1</v>
      </c>
      <c r="H34" s="68">
        <v>1</v>
      </c>
      <c r="I34" s="68"/>
      <c r="J34" s="68"/>
      <c r="K34" s="68"/>
      <c r="L34" s="68"/>
      <c r="M34" s="68"/>
      <c r="N34" s="52">
        <f t="shared" si="1"/>
        <v>5</v>
      </c>
      <c r="O34" s="53">
        <v>7.2</v>
      </c>
      <c r="P34" s="53"/>
      <c r="Q34" s="54"/>
      <c r="R34" s="53"/>
      <c r="S34" s="52"/>
    </row>
    <row r="35" spans="1:19">
      <c r="A35" s="52">
        <v>6266</v>
      </c>
      <c r="B35" s="79" t="str">
        <f>HYPERLINK("http://www.wantgoo.com/stock/chart.aspx?stockno=6266","泰詠")</f>
        <v>泰詠</v>
      </c>
      <c r="C35" s="52">
        <v>1</v>
      </c>
      <c r="D35" s="52">
        <v>1</v>
      </c>
      <c r="E35" s="52">
        <v>0</v>
      </c>
      <c r="F35" s="52">
        <v>1</v>
      </c>
      <c r="G35" s="52">
        <v>0</v>
      </c>
      <c r="H35" s="68">
        <v>1</v>
      </c>
      <c r="I35" s="68"/>
      <c r="J35" s="68"/>
      <c r="K35" s="68"/>
      <c r="L35" s="68"/>
      <c r="M35" s="68"/>
      <c r="N35" s="52">
        <f t="shared" si="1"/>
        <v>4</v>
      </c>
      <c r="O35" s="53">
        <v>8.5</v>
      </c>
      <c r="P35" s="53"/>
      <c r="Q35" s="54"/>
      <c r="R35" s="53"/>
      <c r="S35" s="52"/>
    </row>
    <row r="36" spans="1:19">
      <c r="A36" s="52">
        <v>6286</v>
      </c>
      <c r="B36" s="93" t="s">
        <v>92</v>
      </c>
      <c r="C36" s="52">
        <v>0</v>
      </c>
      <c r="D36" s="52">
        <v>1</v>
      </c>
      <c r="E36" s="52">
        <v>2</v>
      </c>
      <c r="F36" s="52">
        <v>1</v>
      </c>
      <c r="G36" s="52">
        <v>1</v>
      </c>
      <c r="H36" s="80">
        <v>1</v>
      </c>
      <c r="I36" s="80"/>
      <c r="J36" s="80"/>
      <c r="K36" s="80"/>
      <c r="L36" s="80"/>
      <c r="M36" s="80"/>
      <c r="N36" s="52">
        <f>SUM(C36:L36)</f>
        <v>6</v>
      </c>
      <c r="O36" s="53">
        <v>18.2</v>
      </c>
      <c r="P36" s="53"/>
      <c r="Q36" s="54"/>
      <c r="R36" s="53"/>
      <c r="S36" s="52"/>
    </row>
    <row r="37" spans="1:19">
      <c r="A37" s="52">
        <v>8091</v>
      </c>
      <c r="B37" s="93" t="s">
        <v>219</v>
      </c>
      <c r="C37" s="52">
        <v>0</v>
      </c>
      <c r="D37" s="52">
        <v>0</v>
      </c>
      <c r="E37" s="52">
        <v>2</v>
      </c>
      <c r="F37" s="52">
        <v>0</v>
      </c>
      <c r="G37" s="52">
        <v>0</v>
      </c>
      <c r="H37" s="80">
        <v>1</v>
      </c>
      <c r="I37" s="80"/>
      <c r="J37" s="80"/>
      <c r="K37" s="80"/>
      <c r="L37" s="80"/>
      <c r="M37" s="80"/>
      <c r="N37" s="52">
        <f>SUM(C37:L37)</f>
        <v>3</v>
      </c>
      <c r="O37" s="53">
        <v>17.3</v>
      </c>
      <c r="P37" s="53"/>
      <c r="Q37" s="54"/>
      <c r="R37" s="53"/>
      <c r="S37" s="52"/>
    </row>
    <row r="38" spans="1:19">
      <c r="A38" s="52">
        <v>1815</v>
      </c>
      <c r="B38" s="79" t="str">
        <f>HYPERLINK("http://www.wantgoo.com/stock/chart.aspx?stockno=1815","富喬")</f>
        <v>富喬</v>
      </c>
      <c r="C38" s="52">
        <v>1</v>
      </c>
      <c r="D38" s="52">
        <v>1</v>
      </c>
      <c r="E38" s="52">
        <v>0</v>
      </c>
      <c r="F38" s="52">
        <v>1</v>
      </c>
      <c r="G38" s="52">
        <v>0</v>
      </c>
      <c r="H38" s="68">
        <v>0</v>
      </c>
      <c r="I38" s="68"/>
      <c r="J38" s="68"/>
      <c r="K38" s="68"/>
      <c r="L38" s="68"/>
      <c r="M38" s="68"/>
      <c r="N38" s="52">
        <f t="shared" ref="N38:N49" si="2">SUM(C38:M38)</f>
        <v>3</v>
      </c>
      <c r="O38" s="53">
        <v>16.399999999999999</v>
      </c>
      <c r="P38" s="53"/>
      <c r="Q38" s="54"/>
      <c r="R38" s="53"/>
      <c r="S38" s="52" t="s">
        <v>76</v>
      </c>
    </row>
    <row r="39" spans="1:19">
      <c r="A39" s="52">
        <v>6145</v>
      </c>
      <c r="B39" s="79" t="str">
        <f>HYPERLINK("http://www.wantgoo.com/stock/chart.aspx?stockno=6145","勁永")</f>
        <v>勁永</v>
      </c>
      <c r="C39" s="52">
        <v>0</v>
      </c>
      <c r="D39" s="52">
        <v>1</v>
      </c>
      <c r="E39" s="52">
        <v>2</v>
      </c>
      <c r="F39" s="52">
        <v>0</v>
      </c>
      <c r="G39" s="52">
        <v>0</v>
      </c>
      <c r="H39" s="80">
        <v>0</v>
      </c>
      <c r="I39" s="80"/>
      <c r="J39" s="80"/>
      <c r="K39" s="80"/>
      <c r="L39" s="80"/>
      <c r="M39" s="80"/>
      <c r="N39" s="52">
        <f t="shared" si="2"/>
        <v>3</v>
      </c>
      <c r="O39" s="53">
        <v>17.399999999999999</v>
      </c>
      <c r="P39" s="53"/>
      <c r="Q39" s="54"/>
      <c r="R39" s="53"/>
      <c r="S39" s="52" t="s">
        <v>80</v>
      </c>
    </row>
    <row r="40" spans="1:19">
      <c r="A40" s="52">
        <v>5312</v>
      </c>
      <c r="B40" s="79" t="str">
        <f>HYPERLINK("http://www.wantgoo.com/stock/chart.aspx?stockno=5312","寶島")</f>
        <v>寶島</v>
      </c>
      <c r="C40" s="52">
        <v>0</v>
      </c>
      <c r="D40" s="52">
        <v>0</v>
      </c>
      <c r="E40" s="52">
        <v>1</v>
      </c>
      <c r="F40" s="52">
        <v>1</v>
      </c>
      <c r="G40" s="52">
        <v>0</v>
      </c>
      <c r="H40" s="80">
        <v>0</v>
      </c>
      <c r="I40" s="80"/>
      <c r="J40" s="80"/>
      <c r="K40" s="80"/>
      <c r="L40" s="80"/>
      <c r="M40" s="80"/>
      <c r="N40" s="52">
        <f t="shared" si="2"/>
        <v>2</v>
      </c>
      <c r="O40" s="53">
        <v>13.6</v>
      </c>
      <c r="P40" s="53"/>
      <c r="Q40" s="54"/>
      <c r="R40" s="53"/>
      <c r="S40" s="52" t="s">
        <v>84</v>
      </c>
    </row>
    <row r="41" spans="1:19">
      <c r="A41" s="77">
        <v>2383</v>
      </c>
      <c r="B41" s="78" t="str">
        <f>HYPERLINK("http://www.wantgoo.com/stock/chart.aspx?stockno=2383","台光")</f>
        <v>台光</v>
      </c>
      <c r="C41" s="52">
        <v>1</v>
      </c>
      <c r="D41" s="52">
        <v>1</v>
      </c>
      <c r="E41" s="52">
        <v>0</v>
      </c>
      <c r="F41" s="52">
        <v>1</v>
      </c>
      <c r="G41" s="52">
        <v>0</v>
      </c>
      <c r="H41" s="68">
        <v>0</v>
      </c>
      <c r="I41" s="68"/>
      <c r="J41" s="68"/>
      <c r="K41" s="68"/>
      <c r="L41" s="68"/>
      <c r="M41" s="68"/>
      <c r="N41" s="52">
        <f t="shared" si="2"/>
        <v>3</v>
      </c>
      <c r="O41" s="53">
        <v>7.9</v>
      </c>
      <c r="P41" s="53"/>
      <c r="Q41" s="54"/>
      <c r="R41" s="53"/>
      <c r="S41" s="52" t="s">
        <v>86</v>
      </c>
    </row>
    <row r="42" spans="1:19">
      <c r="A42" s="77">
        <v>2344</v>
      </c>
      <c r="B42" s="78" t="str">
        <f>HYPERLINK("http://www.wantgoo.com/stock/chart.aspx?stockno=2344","華邦")</f>
        <v>華邦</v>
      </c>
      <c r="C42" s="52">
        <v>0</v>
      </c>
      <c r="D42" s="52">
        <v>1</v>
      </c>
      <c r="E42" s="52">
        <v>1</v>
      </c>
      <c r="F42" s="52">
        <v>2</v>
      </c>
      <c r="G42" s="52">
        <v>0</v>
      </c>
      <c r="H42" s="68">
        <v>0</v>
      </c>
      <c r="I42" s="68"/>
      <c r="J42" s="68"/>
      <c r="K42" s="68"/>
      <c r="L42" s="68"/>
      <c r="M42" s="68"/>
      <c r="N42" s="52">
        <f t="shared" si="2"/>
        <v>4</v>
      </c>
      <c r="O42" s="53">
        <v>8.8000000000000007</v>
      </c>
      <c r="P42" s="53"/>
      <c r="Q42" s="54"/>
      <c r="R42" s="53"/>
      <c r="S42" s="52" t="s">
        <v>87</v>
      </c>
    </row>
    <row r="43" spans="1:19">
      <c r="A43" s="77">
        <v>3264</v>
      </c>
      <c r="B43" s="78" t="str">
        <f>HYPERLINK("http://www.wantgoo.com/stock/chart.aspx?stockno=3264","欣銓")</f>
        <v>欣銓</v>
      </c>
      <c r="C43" s="52">
        <v>0</v>
      </c>
      <c r="D43" s="52">
        <v>1</v>
      </c>
      <c r="E43" s="52">
        <v>2</v>
      </c>
      <c r="F43" s="52">
        <v>2</v>
      </c>
      <c r="G43" s="52">
        <v>0</v>
      </c>
      <c r="H43" s="68">
        <v>0</v>
      </c>
      <c r="I43" s="68"/>
      <c r="J43" s="68"/>
      <c r="K43" s="68"/>
      <c r="L43" s="68"/>
      <c r="M43" s="68"/>
      <c r="N43" s="52">
        <f t="shared" si="2"/>
        <v>5</v>
      </c>
      <c r="O43" s="53">
        <v>10.4</v>
      </c>
      <c r="P43" s="53"/>
      <c r="Q43" s="54"/>
      <c r="R43" s="53"/>
      <c r="S43" s="52" t="s">
        <v>88</v>
      </c>
    </row>
    <row r="44" spans="1:19">
      <c r="A44" s="77">
        <v>2029</v>
      </c>
      <c r="B44" s="78" t="str">
        <f>HYPERLINK("http://www.wantgoo.com/stock/chart.aspx?stockno=2029","盛餘")</f>
        <v>盛餘</v>
      </c>
      <c r="C44" s="52">
        <v>0</v>
      </c>
      <c r="D44" s="52">
        <v>1</v>
      </c>
      <c r="E44" s="52">
        <v>2</v>
      </c>
      <c r="F44" s="52">
        <v>1</v>
      </c>
      <c r="G44" s="52">
        <v>0</v>
      </c>
      <c r="H44" s="68">
        <v>0</v>
      </c>
      <c r="I44" s="68"/>
      <c r="J44" s="68"/>
      <c r="K44" s="68"/>
      <c r="L44" s="68"/>
      <c r="M44" s="68"/>
      <c r="N44" s="52">
        <f t="shared" si="2"/>
        <v>4</v>
      </c>
      <c r="O44" s="53">
        <v>13.4</v>
      </c>
      <c r="P44" s="53"/>
      <c r="Q44" s="54"/>
      <c r="R44" s="53"/>
      <c r="S44" s="52" t="s">
        <v>90</v>
      </c>
    </row>
    <row r="45" spans="1:19">
      <c r="A45" s="77">
        <v>1608</v>
      </c>
      <c r="B45" s="78" t="str">
        <f>HYPERLINK("http://www.wantgoo.com/stock/chart.aspx?stockno=1608","華榮")</f>
        <v>華榮</v>
      </c>
      <c r="C45" s="52">
        <v>0</v>
      </c>
      <c r="D45" s="52">
        <v>0</v>
      </c>
      <c r="E45" s="52">
        <v>0</v>
      </c>
      <c r="F45" s="52">
        <v>1</v>
      </c>
      <c r="G45" s="52">
        <v>0</v>
      </c>
      <c r="H45" s="68">
        <v>0</v>
      </c>
      <c r="I45" s="68"/>
      <c r="J45" s="68"/>
      <c r="K45" s="68"/>
      <c r="L45" s="68"/>
      <c r="M45" s="68"/>
      <c r="N45" s="52">
        <f t="shared" si="2"/>
        <v>1</v>
      </c>
      <c r="O45" s="53">
        <v>0</v>
      </c>
      <c r="P45" s="53"/>
      <c r="Q45" s="54"/>
      <c r="R45" s="53"/>
      <c r="S45" s="52" t="s">
        <v>68</v>
      </c>
    </row>
    <row r="46" spans="1:19">
      <c r="A46" s="52">
        <v>4120</v>
      </c>
      <c r="B46" s="79" t="str">
        <f>HYPERLINK("http://www.wantgoo.com/stock/chart.aspx?stockno=4120","友華")</f>
        <v>友華</v>
      </c>
      <c r="C46" s="52">
        <v>1</v>
      </c>
      <c r="D46" s="52">
        <v>1</v>
      </c>
      <c r="E46" s="52">
        <v>1</v>
      </c>
      <c r="F46" s="52">
        <v>2</v>
      </c>
      <c r="G46" s="52">
        <v>1</v>
      </c>
      <c r="H46" s="80">
        <v>0</v>
      </c>
      <c r="I46" s="80"/>
      <c r="J46" s="80"/>
      <c r="K46" s="80"/>
      <c r="L46" s="80"/>
      <c r="M46" s="80"/>
      <c r="N46" s="52">
        <f t="shared" si="2"/>
        <v>6</v>
      </c>
      <c r="O46" s="53">
        <v>11</v>
      </c>
      <c r="P46" s="53"/>
      <c r="Q46" s="54"/>
      <c r="R46" s="53"/>
      <c r="S46" s="52" t="s">
        <v>69</v>
      </c>
    </row>
    <row r="47" spans="1:19">
      <c r="A47" s="52">
        <v>3051</v>
      </c>
      <c r="B47" s="79" t="str">
        <f>HYPERLINK("http://www.wantgoo.com/stock/chart.aspx?stockno=3051","力特")</f>
        <v>力特</v>
      </c>
      <c r="C47" s="52">
        <v>0</v>
      </c>
      <c r="D47" s="52">
        <v>1</v>
      </c>
      <c r="E47" s="52">
        <v>0</v>
      </c>
      <c r="F47" s="52">
        <v>1</v>
      </c>
      <c r="G47" s="52">
        <v>0</v>
      </c>
      <c r="H47" s="68">
        <v>0</v>
      </c>
      <c r="I47" s="68"/>
      <c r="J47" s="68"/>
      <c r="K47" s="68"/>
      <c r="L47" s="68"/>
      <c r="M47" s="68"/>
      <c r="N47" s="52">
        <f t="shared" si="2"/>
        <v>2</v>
      </c>
      <c r="O47" s="53">
        <v>7.4</v>
      </c>
      <c r="P47" s="53"/>
      <c r="Q47" s="54"/>
      <c r="R47" s="53"/>
      <c r="S47" s="52" t="s">
        <v>70</v>
      </c>
    </row>
    <row r="48" spans="1:19">
      <c r="A48" s="77">
        <v>2408</v>
      </c>
      <c r="B48" s="78" t="str">
        <f>HYPERLINK("http://www.wantgoo.com/stock/chart.aspx?stockno=2408","南亞")</f>
        <v>南亞</v>
      </c>
      <c r="C48" s="52">
        <v>0</v>
      </c>
      <c r="D48" s="52">
        <v>1</v>
      </c>
      <c r="E48" s="52">
        <v>0</v>
      </c>
      <c r="F48" s="52">
        <v>1</v>
      </c>
      <c r="G48" s="52">
        <v>0</v>
      </c>
      <c r="H48" s="68">
        <v>0</v>
      </c>
      <c r="I48" s="68"/>
      <c r="J48" s="68"/>
      <c r="K48" s="68"/>
      <c r="L48" s="68"/>
      <c r="M48" s="68"/>
      <c r="N48" s="52">
        <f t="shared" si="2"/>
        <v>2</v>
      </c>
      <c r="O48" s="53">
        <v>7.4</v>
      </c>
      <c r="P48" s="53"/>
      <c r="Q48" s="54"/>
      <c r="R48" s="53"/>
      <c r="S48" s="52" t="s">
        <v>72</v>
      </c>
    </row>
    <row r="49" spans="1:19">
      <c r="A49" s="52">
        <v>1540</v>
      </c>
      <c r="B49" s="79" t="str">
        <f>HYPERLINK("http://www.wantgoo.com/stock/chart.aspx?stockno=1540","喬福")</f>
        <v>喬福</v>
      </c>
      <c r="C49" s="52">
        <v>0</v>
      </c>
      <c r="D49" s="52">
        <v>1</v>
      </c>
      <c r="E49" s="52">
        <v>0</v>
      </c>
      <c r="F49" s="52">
        <v>0</v>
      </c>
      <c r="G49" s="52">
        <v>0</v>
      </c>
      <c r="H49" s="68">
        <v>0</v>
      </c>
      <c r="I49" s="68"/>
      <c r="J49" s="68"/>
      <c r="K49" s="68"/>
      <c r="L49" s="68"/>
      <c r="M49" s="68"/>
      <c r="N49" s="52">
        <f t="shared" si="2"/>
        <v>1</v>
      </c>
      <c r="O49" s="53">
        <v>10.5</v>
      </c>
      <c r="P49" s="53"/>
      <c r="Q49" s="54"/>
      <c r="R49" s="53"/>
      <c r="S49" s="52"/>
    </row>
    <row r="50" spans="1:19">
      <c r="A50" s="52">
        <v>1735</v>
      </c>
      <c r="B50" s="93" t="s">
        <v>217</v>
      </c>
      <c r="C50" s="52">
        <v>0</v>
      </c>
      <c r="D50" s="52">
        <v>1</v>
      </c>
      <c r="E50" s="52">
        <v>0</v>
      </c>
      <c r="F50" s="52">
        <v>1</v>
      </c>
      <c r="G50" s="52">
        <v>0</v>
      </c>
      <c r="H50" s="80">
        <v>0</v>
      </c>
      <c r="I50" s="80"/>
      <c r="J50" s="80"/>
      <c r="K50" s="80"/>
      <c r="L50" s="80"/>
      <c r="M50" s="80"/>
      <c r="N50" s="52">
        <f>SUM(C50:L50)</f>
        <v>2</v>
      </c>
      <c r="O50" s="53">
        <v>13</v>
      </c>
      <c r="P50" s="53"/>
      <c r="Q50" s="54"/>
      <c r="R50" s="53"/>
      <c r="S50" s="52"/>
    </row>
    <row r="51" spans="1:19">
      <c r="A51" s="52">
        <v>2023</v>
      </c>
      <c r="B51" s="79" t="str">
        <f>HYPERLINK("http://www.wantgoo.com/stock/chart.aspx?stockno=2023","燁輝")</f>
        <v>燁輝</v>
      </c>
      <c r="C51" s="52">
        <v>0</v>
      </c>
      <c r="D51" s="52">
        <v>1</v>
      </c>
      <c r="E51" s="52">
        <v>0</v>
      </c>
      <c r="F51" s="52">
        <v>1</v>
      </c>
      <c r="G51" s="52">
        <v>0</v>
      </c>
      <c r="H51" s="80">
        <v>0</v>
      </c>
      <c r="I51" s="80"/>
      <c r="J51" s="80"/>
      <c r="K51" s="80"/>
      <c r="L51" s="80"/>
      <c r="M51" s="80"/>
      <c r="N51" s="52">
        <f t="shared" ref="N51:N72" si="3">SUM(C51:M51)</f>
        <v>2</v>
      </c>
      <c r="O51" s="53">
        <v>11.6</v>
      </c>
      <c r="P51" s="53"/>
      <c r="Q51" s="54"/>
      <c r="R51" s="53"/>
      <c r="S51" s="52"/>
    </row>
    <row r="52" spans="1:19">
      <c r="A52" s="52">
        <v>2204</v>
      </c>
      <c r="B52" s="79" t="str">
        <f>HYPERLINK("http://www.wantgoo.com/stock/chart.aspx?stockno=2204","中華")</f>
        <v>中華</v>
      </c>
      <c r="C52" s="52">
        <v>1</v>
      </c>
      <c r="D52" s="52">
        <v>1</v>
      </c>
      <c r="E52" s="52">
        <v>2</v>
      </c>
      <c r="F52" s="52">
        <v>0</v>
      </c>
      <c r="G52" s="52">
        <v>1</v>
      </c>
      <c r="H52" s="68">
        <v>0</v>
      </c>
      <c r="I52" s="68"/>
      <c r="J52" s="68"/>
      <c r="K52" s="68"/>
      <c r="L52" s="68"/>
      <c r="M52" s="68"/>
      <c r="N52" s="52">
        <f t="shared" si="3"/>
        <v>5</v>
      </c>
      <c r="O52" s="53">
        <v>9.1</v>
      </c>
      <c r="P52" s="53"/>
      <c r="Q52" s="54"/>
      <c r="R52" s="53"/>
      <c r="S52" s="52"/>
    </row>
    <row r="53" spans="1:19">
      <c r="A53" s="52">
        <v>2313</v>
      </c>
      <c r="B53" s="79" t="str">
        <f>HYPERLINK("http://www.wantgoo.com/stock/chart.aspx?stockno=2313","華通")</f>
        <v>華通</v>
      </c>
      <c r="C53" s="52">
        <v>0</v>
      </c>
      <c r="D53" s="52">
        <v>1</v>
      </c>
      <c r="E53" s="52">
        <v>0</v>
      </c>
      <c r="F53" s="52">
        <v>2</v>
      </c>
      <c r="G53" s="52">
        <v>0</v>
      </c>
      <c r="H53" s="68">
        <v>0</v>
      </c>
      <c r="I53" s="68"/>
      <c r="J53" s="68"/>
      <c r="K53" s="68"/>
      <c r="L53" s="68"/>
      <c r="M53" s="68"/>
      <c r="N53" s="52">
        <f t="shared" si="3"/>
        <v>3</v>
      </c>
      <c r="O53" s="53">
        <v>12.3</v>
      </c>
      <c r="P53" s="53"/>
      <c r="Q53" s="54"/>
      <c r="R53" s="53"/>
      <c r="S53" s="52"/>
    </row>
    <row r="54" spans="1:19">
      <c r="A54" s="52">
        <v>2329</v>
      </c>
      <c r="B54" s="79" t="str">
        <f>HYPERLINK("http://www.wantgoo.com/stock/chart.aspx?stockno=2329","華泰")</f>
        <v>華泰</v>
      </c>
      <c r="C54" s="52">
        <v>1</v>
      </c>
      <c r="D54" s="52">
        <v>1</v>
      </c>
      <c r="E54" s="52">
        <v>0</v>
      </c>
      <c r="F54" s="52">
        <v>0</v>
      </c>
      <c r="G54" s="52">
        <v>0</v>
      </c>
      <c r="H54" s="68">
        <v>0</v>
      </c>
      <c r="I54" s="68"/>
      <c r="J54" s="68"/>
      <c r="K54" s="68"/>
      <c r="L54" s="68"/>
      <c r="M54" s="68"/>
      <c r="N54" s="52">
        <f t="shared" si="3"/>
        <v>2</v>
      </c>
      <c r="O54" s="53">
        <v>11.7</v>
      </c>
      <c r="P54" s="53"/>
      <c r="Q54" s="54"/>
      <c r="R54" s="53"/>
      <c r="S54" s="52"/>
    </row>
    <row r="55" spans="1:19">
      <c r="A55" s="52">
        <v>2404</v>
      </c>
      <c r="B55" s="79" t="str">
        <f>HYPERLINK("http://www.wantgoo.com/stock/chart.aspx?stockno=2404","漢唐")</f>
        <v>漢唐</v>
      </c>
      <c r="C55" s="52">
        <v>0</v>
      </c>
      <c r="D55" s="52">
        <v>1</v>
      </c>
      <c r="E55" s="52">
        <v>0</v>
      </c>
      <c r="F55" s="52">
        <v>0</v>
      </c>
      <c r="G55" s="52">
        <v>0</v>
      </c>
      <c r="H55" s="68">
        <v>0</v>
      </c>
      <c r="I55" s="68"/>
      <c r="J55" s="68"/>
      <c r="K55" s="68"/>
      <c r="L55" s="68"/>
      <c r="M55" s="68"/>
      <c r="N55" s="52">
        <f t="shared" si="3"/>
        <v>1</v>
      </c>
      <c r="O55" s="53">
        <v>10.8</v>
      </c>
      <c r="P55" s="53"/>
      <c r="Q55" s="54"/>
      <c r="R55" s="53"/>
      <c r="S55" s="52"/>
    </row>
    <row r="56" spans="1:19">
      <c r="A56" s="52">
        <v>2428</v>
      </c>
      <c r="B56" s="79" t="str">
        <f>HYPERLINK("http://www.wantgoo.com/stock/chart.aspx?stockno=2428","興勤")</f>
        <v>興勤</v>
      </c>
      <c r="C56" s="52">
        <v>0</v>
      </c>
      <c r="D56" s="52">
        <v>0</v>
      </c>
      <c r="E56" s="52">
        <v>0</v>
      </c>
      <c r="F56" s="52">
        <v>1</v>
      </c>
      <c r="G56" s="52">
        <v>0</v>
      </c>
      <c r="H56" s="68">
        <v>0</v>
      </c>
      <c r="I56" s="68"/>
      <c r="J56" s="68"/>
      <c r="K56" s="68"/>
      <c r="L56" s="68"/>
      <c r="M56" s="68"/>
      <c r="N56" s="52">
        <f t="shared" si="3"/>
        <v>1</v>
      </c>
      <c r="O56" s="53">
        <v>9.9</v>
      </c>
      <c r="P56" s="53"/>
      <c r="Q56" s="54"/>
      <c r="R56" s="53"/>
      <c r="S56" s="52"/>
    </row>
    <row r="57" spans="1:19">
      <c r="A57" s="52">
        <v>2441</v>
      </c>
      <c r="B57" s="79" t="str">
        <f>HYPERLINK("http://www.wantgoo.com/stock/chart.aspx?stockno=2441","超豐")</f>
        <v>超豐</v>
      </c>
      <c r="C57" s="52">
        <v>0</v>
      </c>
      <c r="D57" s="52">
        <v>1</v>
      </c>
      <c r="E57" s="52">
        <v>0</v>
      </c>
      <c r="F57" s="52">
        <v>2</v>
      </c>
      <c r="G57" s="52">
        <v>0</v>
      </c>
      <c r="H57" s="68">
        <v>0</v>
      </c>
      <c r="I57" s="68"/>
      <c r="J57" s="68"/>
      <c r="K57" s="68"/>
      <c r="L57" s="68"/>
      <c r="M57" s="68"/>
      <c r="N57" s="52">
        <f t="shared" si="3"/>
        <v>3</v>
      </c>
      <c r="O57" s="53">
        <v>11.8</v>
      </c>
      <c r="P57" s="53"/>
      <c r="Q57" s="54"/>
      <c r="R57" s="53"/>
      <c r="S57" s="52"/>
    </row>
    <row r="58" spans="1:19">
      <c r="A58" s="52">
        <v>2449</v>
      </c>
      <c r="B58" s="79" t="str">
        <f>HYPERLINK("http://www.wantgoo.com/stock/chart.aspx?stockno=2449","京元")</f>
        <v>京元</v>
      </c>
      <c r="C58" s="52">
        <v>0</v>
      </c>
      <c r="D58" s="52">
        <v>1</v>
      </c>
      <c r="E58" s="52">
        <v>1</v>
      </c>
      <c r="F58" s="52">
        <v>2</v>
      </c>
      <c r="G58" s="52">
        <v>0</v>
      </c>
      <c r="H58" s="68">
        <v>0</v>
      </c>
      <c r="I58" s="68"/>
      <c r="J58" s="68"/>
      <c r="K58" s="68"/>
      <c r="L58" s="68"/>
      <c r="M58" s="68"/>
      <c r="N58" s="52">
        <f t="shared" si="3"/>
        <v>4</v>
      </c>
      <c r="O58" s="53">
        <v>13.5</v>
      </c>
      <c r="P58" s="53"/>
      <c r="Q58" s="54"/>
      <c r="R58" s="53"/>
      <c r="S58" s="52"/>
    </row>
    <row r="59" spans="1:19">
      <c r="A59" s="52">
        <v>2615</v>
      </c>
      <c r="B59" s="79" t="str">
        <f>HYPERLINK("http://www.wantgoo.com/stock/chart.aspx?stockno=2615","萬海")</f>
        <v>萬海</v>
      </c>
      <c r="C59" s="52">
        <v>1</v>
      </c>
      <c r="D59" s="52">
        <v>1</v>
      </c>
      <c r="E59" s="52">
        <v>2</v>
      </c>
      <c r="F59" s="52">
        <v>2</v>
      </c>
      <c r="G59" s="52">
        <v>0</v>
      </c>
      <c r="H59" s="68">
        <v>0</v>
      </c>
      <c r="I59" s="68"/>
      <c r="J59" s="68"/>
      <c r="K59" s="68"/>
      <c r="L59" s="68"/>
      <c r="M59" s="68"/>
      <c r="N59" s="52">
        <f t="shared" si="3"/>
        <v>6</v>
      </c>
      <c r="O59" s="53">
        <v>8.6999999999999993</v>
      </c>
      <c r="P59" s="53"/>
      <c r="Q59" s="54"/>
      <c r="R59" s="53"/>
      <c r="S59" s="52"/>
    </row>
    <row r="60" spans="1:19">
      <c r="A60" s="52">
        <v>3032</v>
      </c>
      <c r="B60" s="79" t="str">
        <f>HYPERLINK("http://www.wantgoo.com/stock/chart.aspx?stockno=3032","偉訓")</f>
        <v>偉訓</v>
      </c>
      <c r="C60" s="52">
        <v>0</v>
      </c>
      <c r="D60" s="52">
        <v>1</v>
      </c>
      <c r="E60" s="52">
        <v>0</v>
      </c>
      <c r="F60" s="52">
        <v>0</v>
      </c>
      <c r="G60" s="52">
        <v>0</v>
      </c>
      <c r="H60" s="68">
        <v>0</v>
      </c>
      <c r="I60" s="68"/>
      <c r="J60" s="68"/>
      <c r="K60" s="68"/>
      <c r="L60" s="68"/>
      <c r="M60" s="68"/>
      <c r="N60" s="52">
        <f t="shared" si="3"/>
        <v>1</v>
      </c>
      <c r="O60" s="53">
        <v>9.6</v>
      </c>
      <c r="P60" s="53"/>
      <c r="Q60" s="54"/>
      <c r="R60" s="53"/>
      <c r="S60" s="52"/>
    </row>
    <row r="61" spans="1:19">
      <c r="A61" s="77">
        <v>3049</v>
      </c>
      <c r="B61" s="78" t="str">
        <f>HYPERLINK("http://www.wantgoo.com/stock/chart.aspx?stockno=3049","和鑫")</f>
        <v>和鑫</v>
      </c>
      <c r="C61" s="52">
        <v>0</v>
      </c>
      <c r="D61" s="52">
        <v>1</v>
      </c>
      <c r="E61" s="52">
        <v>2</v>
      </c>
      <c r="F61" s="52">
        <v>2</v>
      </c>
      <c r="G61" s="52">
        <v>0</v>
      </c>
      <c r="H61" s="68">
        <v>0</v>
      </c>
      <c r="I61" s="68"/>
      <c r="J61" s="68"/>
      <c r="K61" s="68"/>
      <c r="L61" s="68"/>
      <c r="M61" s="68"/>
      <c r="N61" s="52">
        <f t="shared" si="3"/>
        <v>5</v>
      </c>
      <c r="O61" s="53">
        <v>11.7</v>
      </c>
      <c r="P61" s="53"/>
      <c r="Q61" s="54"/>
      <c r="R61" s="53"/>
      <c r="S61" s="52"/>
    </row>
    <row r="62" spans="1:19">
      <c r="A62" s="52">
        <v>3090</v>
      </c>
      <c r="B62" s="79" t="str">
        <f>HYPERLINK("http://www.wantgoo.com/stock/chart.aspx?stockno=3090","日電")</f>
        <v>日電</v>
      </c>
      <c r="C62" s="52">
        <v>0</v>
      </c>
      <c r="D62" s="52">
        <v>1</v>
      </c>
      <c r="E62" s="52">
        <v>0</v>
      </c>
      <c r="F62" s="52">
        <v>1</v>
      </c>
      <c r="G62" s="52">
        <v>0</v>
      </c>
      <c r="H62" s="68">
        <v>0</v>
      </c>
      <c r="I62" s="68"/>
      <c r="J62" s="68"/>
      <c r="K62" s="68"/>
      <c r="L62" s="68"/>
      <c r="M62" s="68"/>
      <c r="N62" s="52">
        <f t="shared" si="3"/>
        <v>2</v>
      </c>
      <c r="O62" s="53">
        <v>10.5</v>
      </c>
      <c r="P62" s="53"/>
      <c r="Q62" s="54"/>
      <c r="R62" s="53"/>
      <c r="S62" s="52"/>
    </row>
    <row r="63" spans="1:19">
      <c r="A63" s="77">
        <v>3209</v>
      </c>
      <c r="B63" s="78" t="str">
        <f>HYPERLINK("http://www.wantgoo.com/stock/chart.aspx?stockno=3209","全科")</f>
        <v>全科</v>
      </c>
      <c r="C63" s="52">
        <v>0</v>
      </c>
      <c r="D63" s="52">
        <v>1</v>
      </c>
      <c r="E63" s="52">
        <v>1</v>
      </c>
      <c r="F63" s="52">
        <v>0</v>
      </c>
      <c r="G63" s="52">
        <v>0</v>
      </c>
      <c r="H63" s="68">
        <v>0</v>
      </c>
      <c r="I63" s="68"/>
      <c r="J63" s="68"/>
      <c r="K63" s="68"/>
      <c r="L63" s="68"/>
      <c r="M63" s="68"/>
      <c r="N63" s="52">
        <f t="shared" si="3"/>
        <v>2</v>
      </c>
      <c r="O63" s="53">
        <v>9.6</v>
      </c>
      <c r="P63" s="53"/>
      <c r="Q63" s="54"/>
      <c r="R63" s="53"/>
      <c r="S63" s="52"/>
    </row>
    <row r="64" spans="1:19">
      <c r="A64" s="52">
        <v>3553</v>
      </c>
      <c r="B64" s="79" t="str">
        <f>HYPERLINK("http://www.wantgoo.com/stock/chart.aspx?stockno=3553","力積")</f>
        <v>力積</v>
      </c>
      <c r="C64" s="52">
        <v>0</v>
      </c>
      <c r="D64" s="52">
        <v>1</v>
      </c>
      <c r="E64" s="52">
        <v>0</v>
      </c>
      <c r="F64" s="52">
        <v>0</v>
      </c>
      <c r="G64" s="52">
        <v>0</v>
      </c>
      <c r="H64" s="68">
        <v>0</v>
      </c>
      <c r="I64" s="68"/>
      <c r="J64" s="68"/>
      <c r="K64" s="68"/>
      <c r="L64" s="68"/>
      <c r="M64" s="68"/>
      <c r="N64" s="52">
        <f t="shared" si="3"/>
        <v>1</v>
      </c>
      <c r="O64" s="53">
        <v>10.6</v>
      </c>
      <c r="P64" s="53"/>
      <c r="Q64" s="54"/>
      <c r="R64" s="53"/>
      <c r="S64" s="52"/>
    </row>
    <row r="65" spans="1:19">
      <c r="A65" s="77">
        <v>3607</v>
      </c>
      <c r="B65" s="78" t="str">
        <f>HYPERLINK("http://www.wantgoo.com/stock/chart.aspx?stockno=3607","谷崧")</f>
        <v>谷崧</v>
      </c>
      <c r="C65" s="52">
        <v>0</v>
      </c>
      <c r="D65" s="52">
        <v>1</v>
      </c>
      <c r="E65" s="52">
        <v>0</v>
      </c>
      <c r="F65" s="52">
        <v>1</v>
      </c>
      <c r="G65" s="52">
        <v>1</v>
      </c>
      <c r="H65" s="68">
        <v>0</v>
      </c>
      <c r="I65" s="68"/>
      <c r="J65" s="68"/>
      <c r="K65" s="68"/>
      <c r="L65" s="68"/>
      <c r="M65" s="68"/>
      <c r="N65" s="52">
        <f t="shared" si="3"/>
        <v>3</v>
      </c>
      <c r="O65" s="53">
        <v>9.6</v>
      </c>
      <c r="P65" s="53"/>
      <c r="Q65" s="54"/>
      <c r="R65" s="53"/>
      <c r="S65" s="52"/>
    </row>
    <row r="66" spans="1:19">
      <c r="A66" s="52">
        <v>4935</v>
      </c>
      <c r="B66" s="79" t="str">
        <f>HYPERLINK("http://www.wantgoo.com/stock/chart.aspx?stockno=4935","F-")</f>
        <v>F-</v>
      </c>
      <c r="C66" s="52">
        <v>0</v>
      </c>
      <c r="D66" s="52">
        <v>1</v>
      </c>
      <c r="E66" s="52">
        <v>0</v>
      </c>
      <c r="F66" s="52">
        <v>1</v>
      </c>
      <c r="G66" s="52">
        <v>0</v>
      </c>
      <c r="H66" s="68">
        <v>0</v>
      </c>
      <c r="I66" s="68"/>
      <c r="J66" s="68"/>
      <c r="K66" s="68"/>
      <c r="L66" s="68"/>
      <c r="M66" s="68"/>
      <c r="N66" s="52">
        <f t="shared" si="3"/>
        <v>2</v>
      </c>
      <c r="O66" s="53">
        <v>9.9</v>
      </c>
      <c r="P66" s="53"/>
      <c r="Q66" s="54"/>
      <c r="R66" s="53"/>
      <c r="S66" s="52"/>
    </row>
    <row r="67" spans="1:19">
      <c r="A67" s="52">
        <v>5266</v>
      </c>
      <c r="B67" s="79" t="str">
        <f>HYPERLINK("http://www.wantgoo.com/stock/chart.aspx?stockno=5266","F*")</f>
        <v>F*</v>
      </c>
      <c r="C67" s="52">
        <v>1</v>
      </c>
      <c r="D67" s="52">
        <v>1</v>
      </c>
      <c r="E67" s="52">
        <v>2</v>
      </c>
      <c r="F67" s="52">
        <v>1</v>
      </c>
      <c r="G67" s="52">
        <v>0</v>
      </c>
      <c r="H67" s="80">
        <v>0</v>
      </c>
      <c r="I67" s="80"/>
      <c r="J67" s="80"/>
      <c r="K67" s="80"/>
      <c r="L67" s="80"/>
      <c r="M67" s="80"/>
      <c r="N67" s="52">
        <f t="shared" si="3"/>
        <v>5</v>
      </c>
      <c r="O67" s="53">
        <v>7.7</v>
      </c>
      <c r="P67" s="53"/>
      <c r="Q67" s="54"/>
      <c r="R67" s="53"/>
      <c r="S67" s="52"/>
    </row>
    <row r="68" spans="1:19">
      <c r="A68" s="52">
        <v>5439</v>
      </c>
      <c r="B68" s="79" t="str">
        <f>HYPERLINK("http://www.wantgoo.com/stock/chart.aspx?stockno=5439","高技")</f>
        <v>高技</v>
      </c>
      <c r="C68" s="52">
        <v>0</v>
      </c>
      <c r="D68" s="52">
        <v>1</v>
      </c>
      <c r="E68" s="52">
        <v>0</v>
      </c>
      <c r="F68" s="52">
        <v>1</v>
      </c>
      <c r="G68" s="52">
        <v>0</v>
      </c>
      <c r="H68" s="68">
        <v>0</v>
      </c>
      <c r="I68" s="68"/>
      <c r="J68" s="68"/>
      <c r="K68" s="68"/>
      <c r="L68" s="68"/>
      <c r="M68" s="68"/>
      <c r="N68" s="52">
        <f t="shared" si="3"/>
        <v>2</v>
      </c>
      <c r="O68" s="53">
        <v>12.5</v>
      </c>
      <c r="P68" s="53"/>
      <c r="Q68" s="54"/>
      <c r="R68" s="53"/>
      <c r="S68" s="52"/>
    </row>
    <row r="69" spans="1:19">
      <c r="A69" s="52">
        <v>5907</v>
      </c>
      <c r="B69" s="79" t="str">
        <f>HYPERLINK("http://www.wantgoo.com/stock/chart.aspx?stockno=5907","F-")</f>
        <v>F-</v>
      </c>
      <c r="C69" s="52">
        <v>1</v>
      </c>
      <c r="D69" s="52">
        <v>1</v>
      </c>
      <c r="E69" s="52">
        <v>0</v>
      </c>
      <c r="F69" s="52">
        <v>0</v>
      </c>
      <c r="G69" s="52">
        <v>0</v>
      </c>
      <c r="H69" s="80">
        <v>0</v>
      </c>
      <c r="I69" s="80"/>
      <c r="J69" s="80"/>
      <c r="K69" s="80"/>
      <c r="L69" s="80"/>
      <c r="M69" s="80"/>
      <c r="N69" s="52">
        <f t="shared" si="3"/>
        <v>2</v>
      </c>
      <c r="O69" s="53">
        <v>7.3</v>
      </c>
      <c r="P69" s="53"/>
      <c r="Q69" s="54"/>
      <c r="R69" s="53"/>
      <c r="S69" s="52"/>
    </row>
    <row r="70" spans="1:19">
      <c r="A70" s="77">
        <v>6210</v>
      </c>
      <c r="B70" s="78" t="str">
        <f>HYPERLINK("http://www.wantgoo.com/stock/chart.aspx?stockno=6210","慶生")</f>
        <v>慶生</v>
      </c>
      <c r="C70" s="52">
        <v>0</v>
      </c>
      <c r="D70" s="52">
        <v>1</v>
      </c>
      <c r="E70" s="52">
        <v>0</v>
      </c>
      <c r="F70" s="52">
        <v>1</v>
      </c>
      <c r="G70" s="52">
        <v>1</v>
      </c>
      <c r="H70" s="68">
        <v>0</v>
      </c>
      <c r="I70" s="68"/>
      <c r="J70" s="68"/>
      <c r="K70" s="68"/>
      <c r="L70" s="68"/>
      <c r="M70" s="68"/>
      <c r="N70" s="52">
        <f t="shared" si="3"/>
        <v>3</v>
      </c>
      <c r="O70" s="53">
        <v>8.1999999999999993</v>
      </c>
      <c r="P70" s="53"/>
      <c r="Q70" s="54"/>
      <c r="R70" s="53"/>
      <c r="S70" s="52"/>
    </row>
    <row r="71" spans="1:19">
      <c r="A71" s="52">
        <v>6277</v>
      </c>
      <c r="B71" s="79" t="str">
        <f>HYPERLINK("http://www.wantgoo.com/stock/chart.aspx?stockno=6277","宏正")</f>
        <v>宏正</v>
      </c>
      <c r="C71" s="52">
        <v>0</v>
      </c>
      <c r="D71" s="52">
        <v>1</v>
      </c>
      <c r="E71" s="52">
        <v>0</v>
      </c>
      <c r="F71" s="52">
        <v>0</v>
      </c>
      <c r="G71" s="52">
        <v>0</v>
      </c>
      <c r="H71" s="68">
        <v>0</v>
      </c>
      <c r="I71" s="68"/>
      <c r="J71" s="68"/>
      <c r="K71" s="68"/>
      <c r="L71" s="68"/>
      <c r="M71" s="68"/>
      <c r="N71" s="52">
        <f t="shared" si="3"/>
        <v>1</v>
      </c>
      <c r="O71" s="53">
        <v>13.6</v>
      </c>
      <c r="P71" s="53"/>
      <c r="Q71" s="54"/>
      <c r="R71" s="53"/>
      <c r="S71" s="52"/>
    </row>
    <row r="72" spans="1:19">
      <c r="A72" s="52">
        <v>6284</v>
      </c>
      <c r="B72" s="79" t="str">
        <f>HYPERLINK("http://www.wantgoo.com/stock/chart.aspx?stockno=6284","佳邦")</f>
        <v>佳邦</v>
      </c>
      <c r="C72" s="52">
        <v>1</v>
      </c>
      <c r="D72" s="52">
        <v>1</v>
      </c>
      <c r="E72" s="52">
        <v>0</v>
      </c>
      <c r="F72" s="52">
        <v>1</v>
      </c>
      <c r="G72" s="52">
        <v>0</v>
      </c>
      <c r="H72" s="68">
        <v>0</v>
      </c>
      <c r="I72" s="68"/>
      <c r="J72" s="68"/>
      <c r="K72" s="68"/>
      <c r="L72" s="68"/>
      <c r="M72" s="68"/>
      <c r="N72" s="52">
        <f t="shared" si="3"/>
        <v>3</v>
      </c>
      <c r="O72" s="53">
        <v>8.6999999999999993</v>
      </c>
      <c r="P72" s="53"/>
      <c r="Q72" s="54"/>
      <c r="R72" s="53"/>
      <c r="S72" s="52"/>
    </row>
    <row r="73" spans="1:19">
      <c r="A73" s="52">
        <v>8059</v>
      </c>
      <c r="B73" s="93" t="s">
        <v>606</v>
      </c>
      <c r="C73" s="52">
        <v>0</v>
      </c>
      <c r="D73" s="52">
        <v>1</v>
      </c>
      <c r="E73" s="52">
        <v>1</v>
      </c>
      <c r="F73" s="52">
        <v>0</v>
      </c>
      <c r="G73" s="52">
        <v>0</v>
      </c>
      <c r="H73" s="80">
        <v>0</v>
      </c>
      <c r="I73" s="80"/>
      <c r="J73" s="80"/>
      <c r="K73" s="80"/>
      <c r="L73" s="80"/>
      <c r="M73" s="80"/>
      <c r="N73" s="52">
        <f>SUM(C73:L73)</f>
        <v>2</v>
      </c>
      <c r="O73" s="53">
        <v>8.6</v>
      </c>
      <c r="P73" s="53"/>
      <c r="Q73" s="54"/>
      <c r="R73" s="53"/>
      <c r="S73" s="52"/>
    </row>
    <row r="74" spans="1:19">
      <c r="A74" s="77">
        <v>8928</v>
      </c>
      <c r="B74" s="78" t="str">
        <f>HYPERLINK("http://www.wantgoo.com/stock/chart.aspx?stockno=8928","鉅明")</f>
        <v>鉅明</v>
      </c>
      <c r="C74" s="52">
        <v>1</v>
      </c>
      <c r="D74" s="52">
        <v>1</v>
      </c>
      <c r="E74" s="52">
        <v>0</v>
      </c>
      <c r="F74" s="52">
        <v>1</v>
      </c>
      <c r="G74" s="52">
        <v>0</v>
      </c>
      <c r="H74" s="68">
        <v>0</v>
      </c>
      <c r="I74" s="68"/>
      <c r="J74" s="68"/>
      <c r="K74" s="68"/>
      <c r="L74" s="68"/>
      <c r="M74" s="68"/>
      <c r="N74" s="52">
        <f>SUM(C74:M74)</f>
        <v>3</v>
      </c>
      <c r="O74" s="53">
        <v>4.9000000000000004</v>
      </c>
      <c r="P74" s="53"/>
      <c r="Q74" s="54"/>
      <c r="R74" s="53"/>
      <c r="S74" s="52"/>
    </row>
    <row r="75" spans="1:19">
      <c r="A75" s="43">
        <v>6227</v>
      </c>
      <c r="B75" s="48" t="s">
        <v>631</v>
      </c>
      <c r="C75" s="43">
        <v>0</v>
      </c>
      <c r="D75" s="43">
        <v>1</v>
      </c>
      <c r="E75" s="43">
        <v>0</v>
      </c>
      <c r="F75" s="43">
        <v>1</v>
      </c>
      <c r="G75" s="43">
        <v>0</v>
      </c>
      <c r="N75" s="43">
        <f>SUM(C75:L75)</f>
        <v>2</v>
      </c>
      <c r="O75" s="44" t="s">
        <v>632</v>
      </c>
    </row>
    <row r="76" spans="1:19">
      <c r="A76" s="43">
        <v>2397</v>
      </c>
      <c r="B76" s="48" t="s">
        <v>634</v>
      </c>
      <c r="C76" s="43">
        <v>0</v>
      </c>
      <c r="D76" s="43">
        <v>1</v>
      </c>
      <c r="E76" s="43">
        <v>2</v>
      </c>
      <c r="F76" s="43">
        <v>1</v>
      </c>
      <c r="G76" s="43">
        <v>1</v>
      </c>
      <c r="N76" s="43">
        <f>SUM(C76:L76)</f>
        <v>5</v>
      </c>
      <c r="O76" s="44">
        <v>17.5</v>
      </c>
    </row>
    <row r="77" spans="1:19">
      <c r="A77" s="43">
        <v>1701</v>
      </c>
      <c r="B77" s="48" t="s">
        <v>635</v>
      </c>
      <c r="C77" s="43">
        <v>0</v>
      </c>
      <c r="D77" s="43">
        <v>1</v>
      </c>
      <c r="E77" s="43">
        <v>0</v>
      </c>
      <c r="F77" s="43">
        <v>0</v>
      </c>
      <c r="G77" s="43">
        <v>0</v>
      </c>
      <c r="N77" s="43">
        <f>SUM(C77:L77)</f>
        <v>1</v>
      </c>
      <c r="O77" s="44">
        <v>14.6</v>
      </c>
    </row>
    <row r="78" spans="1:19">
      <c r="A78" s="43">
        <v>4972</v>
      </c>
      <c r="B78" s="48" t="s">
        <v>637</v>
      </c>
      <c r="C78" s="43">
        <v>0</v>
      </c>
      <c r="D78" s="43">
        <v>1</v>
      </c>
      <c r="E78" s="43">
        <v>2</v>
      </c>
      <c r="F78" s="43">
        <v>1</v>
      </c>
      <c r="G78" s="43">
        <v>0</v>
      </c>
      <c r="N78" s="43">
        <f>SUM(C78:L78)</f>
        <v>4</v>
      </c>
      <c r="O78" s="44" t="s">
        <v>636</v>
      </c>
    </row>
  </sheetData>
  <sortState ref="A4:AB77">
    <sortCondition descending="1" ref="H3"/>
  </sortState>
  <mergeCells count="7">
    <mergeCell ref="A1:B1"/>
    <mergeCell ref="C1:O1"/>
    <mergeCell ref="A2:B2"/>
    <mergeCell ref="C2:G2"/>
    <mergeCell ref="H2:I2"/>
    <mergeCell ref="J2:L2"/>
    <mergeCell ref="N2:R2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1" r:id="rId4" name="CommandButton8">
          <controlPr defaultSize="0" autoLine="0" r:id="rId5">
            <anchor moveWithCells="1">
              <from>
                <xdr:col>8</xdr:col>
                <xdr:colOff>28575</xdr:colOff>
                <xdr:row>0</xdr:row>
                <xdr:rowOff>19050</xdr:rowOff>
              </from>
              <to>
                <xdr:col>8</xdr:col>
                <xdr:colOff>400050</xdr:colOff>
                <xdr:row>0</xdr:row>
                <xdr:rowOff>266700</xdr:rowOff>
              </to>
            </anchor>
          </controlPr>
        </control>
      </mc:Choice>
      <mc:Fallback>
        <control shapeId="2061" r:id="rId4" name="CommandButton8"/>
      </mc:Fallback>
    </mc:AlternateContent>
    <mc:AlternateContent xmlns:mc="http://schemas.openxmlformats.org/markup-compatibility/2006">
      <mc:Choice Requires="x14">
        <control shapeId="2057" r:id="rId6" name="CommandButton1">
          <controlPr defaultSize="0" autoLine="0" r:id="rId7">
            <anchor moveWithCells="1">
              <from>
                <xdr:col>11</xdr:col>
                <xdr:colOff>47625</xdr:colOff>
                <xdr:row>0</xdr:row>
                <xdr:rowOff>28575</xdr:rowOff>
              </from>
              <to>
                <xdr:col>11</xdr:col>
                <xdr:colOff>419100</xdr:colOff>
                <xdr:row>1</xdr:row>
                <xdr:rowOff>0</xdr:rowOff>
              </to>
            </anchor>
          </controlPr>
        </control>
      </mc:Choice>
      <mc:Fallback>
        <control shapeId="2057" r:id="rId6" name="CommandButton1"/>
      </mc:Fallback>
    </mc:AlternateContent>
    <mc:AlternateContent xmlns:mc="http://schemas.openxmlformats.org/markup-compatibility/2006">
      <mc:Choice Requires="x14">
        <control shapeId="2049" r:id="rId8" name="CommandButton2">
          <controlPr defaultSize="0" autoLine="0" r:id="rId9">
            <anchor moveWithCells="1">
              <from>
                <xdr:col>14</xdr:col>
                <xdr:colOff>19050</xdr:colOff>
                <xdr:row>1</xdr:row>
                <xdr:rowOff>28575</xdr:rowOff>
              </from>
              <to>
                <xdr:col>17</xdr:col>
                <xdr:colOff>400050</xdr:colOff>
                <xdr:row>1</xdr:row>
                <xdr:rowOff>200025</xdr:rowOff>
              </to>
            </anchor>
          </controlPr>
        </control>
      </mc:Choice>
      <mc:Fallback>
        <control shapeId="2049" r:id="rId8" name="CommandButton2"/>
      </mc:Fallback>
    </mc:AlternateContent>
    <mc:AlternateContent xmlns:mc="http://schemas.openxmlformats.org/markup-compatibility/2006">
      <mc:Choice Requires="x14">
        <control shapeId="2050" r:id="rId10" name="CommandButton3">
          <controlPr defaultSize="0" autoLine="0" r:id="rId11">
            <anchor moveWithCells="1">
              <from>
                <xdr:col>9</xdr:col>
                <xdr:colOff>38100</xdr:colOff>
                <xdr:row>0</xdr:row>
                <xdr:rowOff>28575</xdr:rowOff>
              </from>
              <to>
                <xdr:col>9</xdr:col>
                <xdr:colOff>409575</xdr:colOff>
                <xdr:row>1</xdr:row>
                <xdr:rowOff>0</xdr:rowOff>
              </to>
            </anchor>
          </controlPr>
        </control>
      </mc:Choice>
      <mc:Fallback>
        <control shapeId="2050" r:id="rId10" name="CommandButton3"/>
      </mc:Fallback>
    </mc:AlternateContent>
    <mc:AlternateContent xmlns:mc="http://schemas.openxmlformats.org/markup-compatibility/2006">
      <mc:Choice Requires="x14">
        <control shapeId="2051" r:id="rId12" name="CommandButton4">
          <controlPr defaultSize="0" autoLine="0" r:id="rId13">
            <anchor moveWithCells="1">
              <from>
                <xdr:col>10</xdr:col>
                <xdr:colOff>19050</xdr:colOff>
                <xdr:row>0</xdr:row>
                <xdr:rowOff>28575</xdr:rowOff>
              </from>
              <to>
                <xdr:col>10</xdr:col>
                <xdr:colOff>390525</xdr:colOff>
                <xdr:row>1</xdr:row>
                <xdr:rowOff>0</xdr:rowOff>
              </to>
            </anchor>
          </controlPr>
        </control>
      </mc:Choice>
      <mc:Fallback>
        <control shapeId="2051" r:id="rId12" name="CommandButton4"/>
      </mc:Fallback>
    </mc:AlternateContent>
    <mc:AlternateContent xmlns:mc="http://schemas.openxmlformats.org/markup-compatibility/2006">
      <mc:Choice Requires="x14">
        <control shapeId="2052" r:id="rId14" name="CommandButton5">
          <controlPr defaultSize="0" autoLine="0" r:id="rId15">
            <anchor moveWithCells="1">
              <from>
                <xdr:col>12</xdr:col>
                <xdr:colOff>47625</xdr:colOff>
                <xdr:row>0</xdr:row>
                <xdr:rowOff>28575</xdr:rowOff>
              </from>
              <to>
                <xdr:col>12</xdr:col>
                <xdr:colOff>419100</xdr:colOff>
                <xdr:row>1</xdr:row>
                <xdr:rowOff>0</xdr:rowOff>
              </to>
            </anchor>
          </controlPr>
        </control>
      </mc:Choice>
      <mc:Fallback>
        <control shapeId="2052" r:id="rId14" name="CommandButton5"/>
      </mc:Fallback>
    </mc:AlternateContent>
    <mc:AlternateContent xmlns:mc="http://schemas.openxmlformats.org/markup-compatibility/2006">
      <mc:Choice Requires="x14">
        <control shapeId="2053" r:id="rId16" name="CommandButton6">
          <controlPr defaultSize="0" autoLine="0" r:id="rId17">
            <anchor moveWithCells="1">
              <from>
                <xdr:col>0</xdr:col>
                <xdr:colOff>38100</xdr:colOff>
                <xdr:row>0</xdr:row>
                <xdr:rowOff>28575</xdr:rowOff>
              </from>
              <to>
                <xdr:col>1</xdr:col>
                <xdr:colOff>219075</xdr:colOff>
                <xdr:row>1</xdr:row>
                <xdr:rowOff>0</xdr:rowOff>
              </to>
            </anchor>
          </controlPr>
        </control>
      </mc:Choice>
      <mc:Fallback>
        <control shapeId="2053" r:id="rId16" name="CommandButton6"/>
      </mc:Fallback>
    </mc:AlternateContent>
    <mc:AlternateContent xmlns:mc="http://schemas.openxmlformats.org/markup-compatibility/2006">
      <mc:Choice Requires="x14">
        <control shapeId="2059" r:id="rId18" name="CommandButton7">
          <controlPr defaultSize="0" autoLine="0" r:id="rId19">
            <anchor moveWithCells="1">
              <from>
                <xdr:col>7</xdr:col>
                <xdr:colOff>47625</xdr:colOff>
                <xdr:row>0</xdr:row>
                <xdr:rowOff>28575</xdr:rowOff>
              </from>
              <to>
                <xdr:col>7</xdr:col>
                <xdr:colOff>390525</xdr:colOff>
                <xdr:row>1</xdr:row>
                <xdr:rowOff>0</xdr:rowOff>
              </to>
            </anchor>
          </controlPr>
        </control>
      </mc:Choice>
      <mc:Fallback>
        <control shapeId="2059" r:id="rId18" name="CommandButton7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清單"/>
  <dimension ref="A1:G1544"/>
  <sheetViews>
    <sheetView zoomScale="90" zoomScaleNormal="90" workbookViewId="0">
      <pane xSplit="3" ySplit="2" topLeftCell="D3" activePane="bottomRight" state="frozen"/>
      <selection pane="topRight" activeCell="C1" sqref="C1"/>
      <selection pane="bottomLeft" activeCell="A2" sqref="A2"/>
      <selection pane="bottomRight" activeCell="F41" sqref="F2:F41"/>
    </sheetView>
  </sheetViews>
  <sheetFormatPr defaultRowHeight="16.5"/>
  <cols>
    <col min="1" max="1" width="9.625" style="87" bestFit="1" customWidth="1"/>
    <col min="2" max="2" width="9.625" style="87" customWidth="1"/>
    <col min="3" max="3" width="9.5" style="87" bestFit="1" customWidth="1"/>
    <col min="4" max="4" width="1.875" style="87" customWidth="1"/>
    <col min="5" max="16384" width="9" style="76"/>
  </cols>
  <sheetData>
    <row r="1" spans="1:6" ht="28.5">
      <c r="A1" s="84" t="s">
        <v>226</v>
      </c>
      <c r="B1" s="130" t="s">
        <v>633</v>
      </c>
      <c r="C1" s="84" t="s">
        <v>286</v>
      </c>
      <c r="E1" s="280" t="s">
        <v>685</v>
      </c>
      <c r="F1" s="280" t="s">
        <v>686</v>
      </c>
    </row>
    <row r="2" spans="1:6">
      <c r="A2" s="87">
        <v>1101</v>
      </c>
      <c r="C2" s="88">
        <v>1307</v>
      </c>
      <c r="D2" s="88"/>
      <c r="E2" s="76">
        <v>1452</v>
      </c>
      <c r="F2" s="76">
        <v>1313</v>
      </c>
    </row>
    <row r="3" spans="1:6">
      <c r="A3" s="87">
        <v>1102</v>
      </c>
      <c r="C3" s="88">
        <v>1312</v>
      </c>
      <c r="D3" s="88"/>
      <c r="E3" s="76">
        <v>1560</v>
      </c>
      <c r="F3" s="76">
        <v>1455</v>
      </c>
    </row>
    <row r="4" spans="1:6">
      <c r="A4" s="87">
        <v>1103</v>
      </c>
      <c r="C4" s="88">
        <v>1338</v>
      </c>
      <c r="D4" s="88"/>
      <c r="E4" s="76">
        <v>1605</v>
      </c>
      <c r="F4" s="76">
        <v>1708</v>
      </c>
    </row>
    <row r="5" spans="1:6">
      <c r="A5" s="87">
        <v>1104</v>
      </c>
      <c r="C5" s="88">
        <v>1516</v>
      </c>
      <c r="D5" s="88"/>
      <c r="E5" s="76">
        <v>1731</v>
      </c>
      <c r="F5" s="76">
        <v>1737</v>
      </c>
    </row>
    <row r="6" spans="1:6">
      <c r="A6" s="87">
        <v>1108</v>
      </c>
      <c r="C6" s="88">
        <v>1521</v>
      </c>
      <c r="D6" s="88"/>
      <c r="E6" s="76">
        <v>2062</v>
      </c>
      <c r="F6" s="76">
        <v>1789</v>
      </c>
    </row>
    <row r="7" spans="1:6">
      <c r="A7" s="87">
        <v>1109</v>
      </c>
      <c r="C7" s="88">
        <v>1539</v>
      </c>
      <c r="D7" s="88"/>
      <c r="E7" s="76">
        <v>2303</v>
      </c>
      <c r="F7" s="76">
        <v>2015</v>
      </c>
    </row>
    <row r="8" spans="1:6">
      <c r="A8" s="87">
        <v>1110</v>
      </c>
      <c r="C8" s="88">
        <v>1540</v>
      </c>
      <c r="D8" s="88"/>
      <c r="E8" s="76">
        <v>2308</v>
      </c>
      <c r="F8" s="76">
        <v>2227</v>
      </c>
    </row>
    <row r="9" spans="1:6">
      <c r="A9" s="87">
        <v>1201</v>
      </c>
      <c r="C9" s="88">
        <v>1608</v>
      </c>
      <c r="D9" s="88"/>
      <c r="E9" s="76">
        <v>2455</v>
      </c>
      <c r="F9" s="76">
        <v>2486</v>
      </c>
    </row>
    <row r="10" spans="1:6">
      <c r="A10" s="87">
        <v>1203</v>
      </c>
      <c r="C10" s="88">
        <v>1702</v>
      </c>
      <c r="D10" s="88"/>
      <c r="E10" s="76">
        <v>2497</v>
      </c>
      <c r="F10" s="76">
        <v>2511</v>
      </c>
    </row>
    <row r="11" spans="1:6">
      <c r="A11" s="87">
        <v>1213</v>
      </c>
      <c r="C11" s="88">
        <v>1735</v>
      </c>
      <c r="D11" s="88"/>
      <c r="E11" s="76">
        <v>3189</v>
      </c>
      <c r="F11" s="76">
        <v>2731</v>
      </c>
    </row>
    <row r="12" spans="1:6">
      <c r="A12" s="87">
        <v>1215</v>
      </c>
      <c r="C12" s="88">
        <v>1815</v>
      </c>
      <c r="D12" s="88"/>
      <c r="E12" s="76">
        <v>3504</v>
      </c>
      <c r="F12" s="76">
        <v>3023</v>
      </c>
    </row>
    <row r="13" spans="1:6">
      <c r="A13" s="87">
        <v>1216</v>
      </c>
      <c r="C13" s="88">
        <v>1904</v>
      </c>
      <c r="D13" s="88"/>
      <c r="E13" s="76">
        <v>4108</v>
      </c>
      <c r="F13" s="76">
        <v>3054</v>
      </c>
    </row>
    <row r="14" spans="1:6">
      <c r="A14" s="87">
        <v>1217</v>
      </c>
      <c r="C14" s="88">
        <v>2023</v>
      </c>
      <c r="D14" s="88"/>
      <c r="E14" s="76">
        <v>5007</v>
      </c>
      <c r="F14" s="76">
        <v>3356</v>
      </c>
    </row>
    <row r="15" spans="1:6">
      <c r="A15" s="87">
        <v>1218</v>
      </c>
      <c r="C15" s="88">
        <v>2029</v>
      </c>
      <c r="D15" s="88"/>
      <c r="E15" s="76">
        <v>8039</v>
      </c>
      <c r="F15" s="76">
        <v>3515</v>
      </c>
    </row>
    <row r="16" spans="1:6">
      <c r="A16" s="87">
        <v>1219</v>
      </c>
      <c r="C16" s="88">
        <v>2108</v>
      </c>
      <c r="D16" s="88"/>
      <c r="E16" s="76">
        <v>8454</v>
      </c>
      <c r="F16" s="76">
        <v>3573</v>
      </c>
    </row>
    <row r="17" spans="1:6">
      <c r="A17" s="87">
        <v>1220</v>
      </c>
      <c r="C17" s="88">
        <v>2204</v>
      </c>
      <c r="D17" s="88"/>
      <c r="E17" s="76">
        <v>3511</v>
      </c>
      <c r="F17" s="76">
        <v>3682</v>
      </c>
    </row>
    <row r="18" spans="1:6">
      <c r="A18" s="87">
        <v>1225</v>
      </c>
      <c r="C18" s="88">
        <v>2313</v>
      </c>
      <c r="D18" s="88"/>
      <c r="E18" s="76">
        <v>3558</v>
      </c>
      <c r="F18" s="76">
        <v>4532</v>
      </c>
    </row>
    <row r="19" spans="1:6">
      <c r="A19" s="87">
        <v>1227</v>
      </c>
      <c r="C19" s="88">
        <v>2329</v>
      </c>
      <c r="D19" s="88"/>
      <c r="E19" s="76">
        <v>3675</v>
      </c>
      <c r="F19" s="76">
        <v>4994</v>
      </c>
    </row>
    <row r="20" spans="1:6">
      <c r="A20" s="87">
        <v>1229</v>
      </c>
      <c r="C20" s="88">
        <v>2344</v>
      </c>
      <c r="D20" s="88"/>
      <c r="E20" s="76">
        <v>4966</v>
      </c>
      <c r="F20" s="76">
        <v>5234</v>
      </c>
    </row>
    <row r="21" spans="1:6">
      <c r="A21" s="87">
        <v>1231</v>
      </c>
      <c r="C21" s="88">
        <v>2383</v>
      </c>
      <c r="D21" s="88"/>
      <c r="E21" s="76">
        <v>4972</v>
      </c>
      <c r="F21" s="76">
        <v>6456</v>
      </c>
    </row>
    <row r="22" spans="1:6">
      <c r="A22" s="87">
        <v>1232</v>
      </c>
      <c r="C22" s="88">
        <v>2404</v>
      </c>
      <c r="D22" s="88"/>
      <c r="E22" s="76">
        <v>4991</v>
      </c>
      <c r="F22" s="76">
        <v>8105</v>
      </c>
    </row>
    <row r="23" spans="1:6">
      <c r="A23" s="87">
        <v>1233</v>
      </c>
      <c r="C23" s="88">
        <v>2408</v>
      </c>
      <c r="D23" s="88"/>
      <c r="E23" s="76">
        <v>5274</v>
      </c>
      <c r="F23" s="76">
        <v>8114</v>
      </c>
    </row>
    <row r="24" spans="1:6">
      <c r="A24" s="87">
        <v>1234</v>
      </c>
      <c r="C24" s="88">
        <v>2428</v>
      </c>
      <c r="D24" s="88"/>
      <c r="E24" s="76">
        <v>5904</v>
      </c>
      <c r="F24" s="76">
        <v>9907</v>
      </c>
    </row>
    <row r="25" spans="1:6">
      <c r="A25" s="87">
        <v>1235</v>
      </c>
      <c r="C25" s="88">
        <v>2441</v>
      </c>
      <c r="D25" s="88"/>
      <c r="E25" s="76">
        <v>6182</v>
      </c>
      <c r="F25" s="76">
        <v>3372</v>
      </c>
    </row>
    <row r="26" spans="1:6">
      <c r="A26" s="87">
        <v>1236</v>
      </c>
      <c r="C26" s="88">
        <v>2449</v>
      </c>
      <c r="D26" s="88"/>
      <c r="E26" s="76">
        <v>1604</v>
      </c>
      <c r="F26" s="76">
        <v>3455</v>
      </c>
    </row>
    <row r="27" spans="1:6">
      <c r="A27" s="87">
        <v>1256</v>
      </c>
      <c r="C27" s="88">
        <v>2474</v>
      </c>
      <c r="D27" s="88"/>
      <c r="E27" s="76">
        <v>1730</v>
      </c>
      <c r="F27" s="76">
        <v>3551</v>
      </c>
    </row>
    <row r="28" spans="1:6">
      <c r="A28" s="87">
        <v>1258</v>
      </c>
      <c r="C28" s="88">
        <v>2488</v>
      </c>
      <c r="D28" s="88"/>
      <c r="E28" s="76">
        <v>2344</v>
      </c>
      <c r="F28" s="76">
        <v>5272</v>
      </c>
    </row>
    <row r="29" spans="1:6">
      <c r="A29" s="87">
        <v>1259</v>
      </c>
      <c r="C29" s="88">
        <v>2615</v>
      </c>
      <c r="D29" s="88"/>
      <c r="E29" s="76">
        <v>2383</v>
      </c>
      <c r="F29" s="76">
        <v>5347</v>
      </c>
    </row>
    <row r="30" spans="1:6">
      <c r="A30" s="87">
        <v>1262</v>
      </c>
      <c r="C30" s="88">
        <v>2637</v>
      </c>
      <c r="D30" s="88"/>
      <c r="E30" s="76">
        <v>2395</v>
      </c>
      <c r="F30" s="76">
        <v>5490</v>
      </c>
    </row>
    <row r="31" spans="1:6">
      <c r="A31" s="87">
        <v>1264</v>
      </c>
      <c r="C31" s="88">
        <v>3005</v>
      </c>
      <c r="D31" s="88"/>
      <c r="E31" s="76">
        <v>2439</v>
      </c>
      <c r="F31" s="76">
        <v>5508</v>
      </c>
    </row>
    <row r="32" spans="1:6">
      <c r="A32" s="87">
        <v>1301</v>
      </c>
      <c r="C32" s="88">
        <v>3023</v>
      </c>
      <c r="D32" s="88"/>
      <c r="E32" s="76">
        <v>2442</v>
      </c>
      <c r="F32" s="76">
        <v>5514</v>
      </c>
    </row>
    <row r="33" spans="1:6">
      <c r="A33" s="87">
        <v>1303</v>
      </c>
      <c r="C33" s="88">
        <v>3032</v>
      </c>
      <c r="D33" s="88"/>
      <c r="E33" s="76">
        <v>2450</v>
      </c>
      <c r="F33" s="76">
        <v>6143</v>
      </c>
    </row>
    <row r="34" spans="1:6">
      <c r="A34" s="87">
        <v>1304</v>
      </c>
      <c r="C34" s="88">
        <v>3049</v>
      </c>
      <c r="D34" s="88"/>
      <c r="E34" s="76">
        <v>2492</v>
      </c>
      <c r="F34" s="76">
        <v>6147</v>
      </c>
    </row>
    <row r="35" spans="1:6">
      <c r="A35" s="87">
        <v>1305</v>
      </c>
      <c r="C35" s="88">
        <v>3051</v>
      </c>
      <c r="D35" s="88"/>
      <c r="E35" s="76">
        <v>3011</v>
      </c>
      <c r="F35" s="76">
        <v>6175</v>
      </c>
    </row>
    <row r="36" spans="1:6">
      <c r="A36" s="87">
        <v>1307</v>
      </c>
      <c r="C36" s="88">
        <v>3090</v>
      </c>
      <c r="D36" s="88"/>
      <c r="E36" s="76">
        <v>3041</v>
      </c>
      <c r="F36" s="76">
        <v>6210</v>
      </c>
    </row>
    <row r="37" spans="1:6">
      <c r="A37" s="87">
        <v>1308</v>
      </c>
      <c r="C37" s="88">
        <v>3209</v>
      </c>
      <c r="D37" s="88"/>
      <c r="E37" s="76">
        <v>3045</v>
      </c>
      <c r="F37" s="76">
        <v>6234</v>
      </c>
    </row>
    <row r="38" spans="1:6">
      <c r="A38" s="87">
        <v>1309</v>
      </c>
      <c r="C38" s="88">
        <v>3213</v>
      </c>
      <c r="D38" s="88"/>
      <c r="E38" s="76">
        <v>3088</v>
      </c>
      <c r="F38" s="76">
        <v>6244</v>
      </c>
    </row>
    <row r="39" spans="1:6">
      <c r="A39" s="87">
        <v>1310</v>
      </c>
      <c r="C39" s="88">
        <v>3264</v>
      </c>
      <c r="D39" s="88"/>
      <c r="E39" s="76">
        <v>3211</v>
      </c>
      <c r="F39" s="76">
        <v>8086</v>
      </c>
    </row>
    <row r="40" spans="1:6">
      <c r="A40" s="87">
        <v>1312</v>
      </c>
      <c r="C40" s="88">
        <v>3376</v>
      </c>
      <c r="D40" s="88"/>
      <c r="E40" s="76">
        <v>3563</v>
      </c>
      <c r="F40" s="76">
        <v>8255</v>
      </c>
    </row>
    <row r="41" spans="1:6">
      <c r="A41" s="87">
        <v>1313</v>
      </c>
      <c r="C41" s="88">
        <v>3481</v>
      </c>
      <c r="D41" s="88"/>
      <c r="E41" s="76">
        <v>3577</v>
      </c>
      <c r="F41" s="76">
        <v>8416</v>
      </c>
    </row>
    <row r="42" spans="1:6">
      <c r="A42" s="87">
        <v>1314</v>
      </c>
      <c r="C42" s="88">
        <v>3499</v>
      </c>
      <c r="D42" s="88"/>
      <c r="E42" s="76">
        <v>3587</v>
      </c>
      <c r="F42"/>
    </row>
    <row r="43" spans="1:6">
      <c r="A43" s="87">
        <v>1315</v>
      </c>
      <c r="C43" s="88">
        <v>3528</v>
      </c>
      <c r="D43" s="88"/>
      <c r="E43" s="76">
        <v>4126</v>
      </c>
      <c r="F43"/>
    </row>
    <row r="44" spans="1:6">
      <c r="A44" s="87">
        <v>1316</v>
      </c>
      <c r="C44" s="88">
        <v>3553</v>
      </c>
      <c r="D44" s="88"/>
      <c r="E44" s="76">
        <v>4188</v>
      </c>
      <c r="F44"/>
    </row>
    <row r="45" spans="1:6">
      <c r="A45" s="87">
        <v>1319</v>
      </c>
      <c r="C45" s="88">
        <v>3607</v>
      </c>
      <c r="D45" s="88"/>
      <c r="E45" s="76">
        <v>4712</v>
      </c>
      <c r="F45"/>
    </row>
    <row r="46" spans="1:6">
      <c r="A46" s="87">
        <v>1321</v>
      </c>
      <c r="C46" s="88">
        <v>3675</v>
      </c>
      <c r="D46" s="88"/>
      <c r="E46" s="76">
        <v>4733</v>
      </c>
      <c r="F46"/>
    </row>
    <row r="47" spans="1:6">
      <c r="A47" s="87">
        <v>1323</v>
      </c>
      <c r="C47" s="88">
        <v>4120</v>
      </c>
      <c r="D47" s="88"/>
      <c r="E47" s="76">
        <v>4919</v>
      </c>
      <c r="F47"/>
    </row>
    <row r="48" spans="1:6">
      <c r="A48" s="87">
        <v>1324</v>
      </c>
      <c r="C48" s="88">
        <v>4127</v>
      </c>
      <c r="D48" s="88"/>
      <c r="E48" s="76">
        <v>5203</v>
      </c>
      <c r="F48"/>
    </row>
    <row r="49" spans="1:6">
      <c r="A49" s="87">
        <v>1325</v>
      </c>
      <c r="C49" s="88">
        <v>4417</v>
      </c>
      <c r="D49" s="88"/>
      <c r="E49" s="76">
        <v>5371</v>
      </c>
      <c r="F49"/>
    </row>
    <row r="50" spans="1:6">
      <c r="A50" s="87">
        <v>1326</v>
      </c>
      <c r="C50" s="88">
        <v>4528</v>
      </c>
      <c r="D50" s="88"/>
      <c r="E50" s="76">
        <v>6158</v>
      </c>
      <c r="F50"/>
    </row>
    <row r="51" spans="1:6">
      <c r="A51" s="87">
        <v>1333</v>
      </c>
      <c r="C51" s="88">
        <v>4912</v>
      </c>
      <c r="D51" s="88"/>
      <c r="E51" s="76">
        <v>6176</v>
      </c>
      <c r="F51"/>
    </row>
    <row r="52" spans="1:6">
      <c r="A52" s="87">
        <v>1336</v>
      </c>
      <c r="C52" s="88">
        <v>4935</v>
      </c>
      <c r="D52" s="88"/>
      <c r="E52" s="76">
        <v>6202</v>
      </c>
      <c r="F52"/>
    </row>
    <row r="53" spans="1:6">
      <c r="A53" s="87">
        <v>1337</v>
      </c>
      <c r="C53" s="88">
        <v>4938</v>
      </c>
      <c r="D53" s="88"/>
      <c r="E53" s="76">
        <v>8083</v>
      </c>
      <c r="F53"/>
    </row>
    <row r="54" spans="1:6">
      <c r="A54" s="87">
        <v>1338</v>
      </c>
      <c r="C54" s="88">
        <v>4971</v>
      </c>
      <c r="D54" s="88"/>
      <c r="E54" s="76">
        <v>8210</v>
      </c>
      <c r="F54"/>
    </row>
    <row r="55" spans="1:6">
      <c r="A55" s="87">
        <v>1339</v>
      </c>
      <c r="C55" s="88">
        <v>5266</v>
      </c>
      <c r="D55" s="88"/>
      <c r="E55" s="76">
        <v>8420</v>
      </c>
      <c r="F55"/>
    </row>
    <row r="56" spans="1:6">
      <c r="A56" s="87">
        <v>1340</v>
      </c>
      <c r="C56" s="88">
        <v>5276</v>
      </c>
      <c r="D56" s="88"/>
      <c r="E56" s="76">
        <v>8935</v>
      </c>
      <c r="F56"/>
    </row>
    <row r="57" spans="1:6">
      <c r="A57" s="87">
        <v>1402</v>
      </c>
      <c r="C57" s="88">
        <v>5312</v>
      </c>
      <c r="D57" s="88"/>
      <c r="E57" s="76">
        <v>9940</v>
      </c>
      <c r="F57"/>
    </row>
    <row r="58" spans="1:6">
      <c r="A58" s="87">
        <v>1409</v>
      </c>
      <c r="C58" s="88">
        <v>5315</v>
      </c>
      <c r="D58" s="88"/>
      <c r="F58"/>
    </row>
    <row r="59" spans="1:6">
      <c r="A59" s="87">
        <v>1410</v>
      </c>
      <c r="C59" s="88">
        <v>5439</v>
      </c>
      <c r="D59" s="88"/>
      <c r="F59"/>
    </row>
    <row r="60" spans="1:6">
      <c r="A60" s="87">
        <v>1413</v>
      </c>
      <c r="C60" s="88">
        <v>5907</v>
      </c>
      <c r="D60" s="88"/>
      <c r="F60"/>
    </row>
    <row r="61" spans="1:6">
      <c r="A61" s="87">
        <v>1414</v>
      </c>
      <c r="C61" s="88">
        <v>6145</v>
      </c>
      <c r="D61" s="88"/>
      <c r="F61"/>
    </row>
    <row r="62" spans="1:6">
      <c r="A62" s="87">
        <v>1416</v>
      </c>
      <c r="C62" s="88">
        <v>6151</v>
      </c>
      <c r="D62" s="88"/>
      <c r="F62"/>
    </row>
    <row r="63" spans="1:6">
      <c r="A63" s="87">
        <v>1417</v>
      </c>
      <c r="C63" s="88">
        <v>6210</v>
      </c>
      <c r="D63" s="88"/>
      <c r="F63"/>
    </row>
    <row r="64" spans="1:6">
      <c r="A64" s="87">
        <v>1418</v>
      </c>
      <c r="C64" s="88">
        <v>6224</v>
      </c>
      <c r="D64" s="88"/>
      <c r="F64"/>
    </row>
    <row r="65" spans="1:6">
      <c r="A65" s="87">
        <v>1419</v>
      </c>
      <c r="C65" s="88">
        <v>6238</v>
      </c>
      <c r="D65" s="88"/>
      <c r="F65"/>
    </row>
    <row r="66" spans="1:6">
      <c r="A66" s="87">
        <v>1423</v>
      </c>
      <c r="C66" s="88">
        <v>6266</v>
      </c>
      <c r="D66" s="88"/>
      <c r="F66"/>
    </row>
    <row r="67" spans="1:6">
      <c r="A67" s="87">
        <v>1432</v>
      </c>
      <c r="C67" s="88">
        <v>6269</v>
      </c>
      <c r="D67" s="88"/>
      <c r="F67"/>
    </row>
    <row r="68" spans="1:6">
      <c r="A68" s="87">
        <v>1434</v>
      </c>
      <c r="C68" s="88">
        <v>6277</v>
      </c>
      <c r="D68" s="88"/>
      <c r="F68"/>
    </row>
    <row r="69" spans="1:6">
      <c r="A69" s="87">
        <v>1435</v>
      </c>
      <c r="C69" s="88">
        <v>6284</v>
      </c>
      <c r="D69" s="88"/>
      <c r="F69"/>
    </row>
    <row r="70" spans="1:6">
      <c r="A70" s="87">
        <v>1436</v>
      </c>
      <c r="C70" s="88">
        <v>6286</v>
      </c>
      <c r="D70" s="88"/>
      <c r="F70"/>
    </row>
    <row r="71" spans="1:6">
      <c r="A71" s="87">
        <v>1437</v>
      </c>
      <c r="C71" s="88">
        <v>8091</v>
      </c>
      <c r="D71" s="88"/>
      <c r="F71"/>
    </row>
    <row r="72" spans="1:6">
      <c r="A72" s="87">
        <v>1438</v>
      </c>
      <c r="C72" s="88">
        <v>8928</v>
      </c>
      <c r="D72" s="88"/>
      <c r="F72"/>
    </row>
    <row r="73" spans="1:6">
      <c r="A73" s="87">
        <v>1439</v>
      </c>
      <c r="C73" s="88"/>
      <c r="D73" s="88"/>
      <c r="F73"/>
    </row>
    <row r="74" spans="1:6">
      <c r="A74" s="87">
        <v>1440</v>
      </c>
      <c r="C74" s="88"/>
      <c r="D74" s="88"/>
      <c r="F74"/>
    </row>
    <row r="75" spans="1:6">
      <c r="A75" s="87">
        <v>1441</v>
      </c>
      <c r="C75" s="88"/>
      <c r="D75" s="88"/>
      <c r="F75"/>
    </row>
    <row r="76" spans="1:6">
      <c r="A76" s="87">
        <v>1442</v>
      </c>
      <c r="C76" s="88"/>
      <c r="D76" s="88"/>
      <c r="F76"/>
    </row>
    <row r="77" spans="1:6">
      <c r="A77" s="87">
        <v>1443</v>
      </c>
      <c r="C77" s="88"/>
      <c r="D77" s="88"/>
      <c r="F77"/>
    </row>
    <row r="78" spans="1:6">
      <c r="A78" s="87">
        <v>1444</v>
      </c>
      <c r="C78" s="88"/>
      <c r="D78" s="88"/>
      <c r="F78"/>
    </row>
    <row r="79" spans="1:6">
      <c r="A79" s="87">
        <v>1445</v>
      </c>
      <c r="C79" s="88"/>
      <c r="D79" s="88"/>
      <c r="F79"/>
    </row>
    <row r="80" spans="1:6">
      <c r="A80" s="87">
        <v>1446</v>
      </c>
      <c r="C80" s="88"/>
      <c r="D80" s="88"/>
      <c r="F80"/>
    </row>
    <row r="81" spans="1:6">
      <c r="A81" s="87">
        <v>1447</v>
      </c>
      <c r="C81" s="88"/>
      <c r="D81" s="88"/>
      <c r="E81"/>
      <c r="F81"/>
    </row>
    <row r="82" spans="1:6">
      <c r="A82" s="87">
        <v>1449</v>
      </c>
      <c r="C82" s="88"/>
      <c r="D82" s="88"/>
      <c r="E82"/>
      <c r="F82"/>
    </row>
    <row r="83" spans="1:6">
      <c r="A83" s="87">
        <v>1451</v>
      </c>
      <c r="C83" s="88"/>
      <c r="D83" s="88"/>
      <c r="E83"/>
      <c r="F83"/>
    </row>
    <row r="84" spans="1:6">
      <c r="A84" s="87">
        <v>1452</v>
      </c>
      <c r="C84" s="88"/>
      <c r="D84" s="88"/>
      <c r="E84"/>
      <c r="F84"/>
    </row>
    <row r="85" spans="1:6">
      <c r="A85" s="87">
        <v>1453</v>
      </c>
      <c r="C85" s="88"/>
      <c r="D85" s="88"/>
      <c r="E85"/>
      <c r="F85"/>
    </row>
    <row r="86" spans="1:6">
      <c r="A86" s="87">
        <v>1454</v>
      </c>
      <c r="C86" s="88"/>
      <c r="D86" s="88"/>
      <c r="E86"/>
      <c r="F86"/>
    </row>
    <row r="87" spans="1:6">
      <c r="A87" s="87">
        <v>1455</v>
      </c>
      <c r="C87" s="88"/>
      <c r="D87" s="88"/>
      <c r="E87"/>
      <c r="F87"/>
    </row>
    <row r="88" spans="1:6">
      <c r="A88" s="87">
        <v>1456</v>
      </c>
      <c r="C88" s="88"/>
      <c r="D88" s="88"/>
      <c r="E88"/>
      <c r="F88"/>
    </row>
    <row r="89" spans="1:6">
      <c r="A89" s="87">
        <v>1457</v>
      </c>
      <c r="C89" s="88"/>
      <c r="D89" s="88"/>
      <c r="E89"/>
      <c r="F89"/>
    </row>
    <row r="90" spans="1:6">
      <c r="A90" s="87">
        <v>1459</v>
      </c>
      <c r="C90" s="88"/>
      <c r="D90" s="88"/>
      <c r="E90"/>
      <c r="F90"/>
    </row>
    <row r="91" spans="1:6">
      <c r="A91" s="87">
        <v>1460</v>
      </c>
      <c r="C91" s="88"/>
      <c r="D91" s="88"/>
      <c r="E91"/>
      <c r="F91"/>
    </row>
    <row r="92" spans="1:6">
      <c r="A92" s="87">
        <v>1463</v>
      </c>
      <c r="C92" s="88"/>
      <c r="D92" s="88"/>
      <c r="E92"/>
      <c r="F92"/>
    </row>
    <row r="93" spans="1:6">
      <c r="A93" s="87">
        <v>1464</v>
      </c>
      <c r="C93" s="88"/>
      <c r="D93" s="88"/>
      <c r="E93"/>
      <c r="F93"/>
    </row>
    <row r="94" spans="1:6">
      <c r="A94" s="87">
        <v>1465</v>
      </c>
      <c r="C94" s="88"/>
      <c r="D94" s="88"/>
      <c r="E94"/>
      <c r="F94"/>
    </row>
    <row r="95" spans="1:6">
      <c r="A95" s="87">
        <v>1466</v>
      </c>
      <c r="C95" s="88"/>
      <c r="D95" s="88"/>
      <c r="E95"/>
      <c r="F95"/>
    </row>
    <row r="96" spans="1:6">
      <c r="A96" s="87">
        <v>1467</v>
      </c>
      <c r="C96" s="88"/>
      <c r="D96" s="88"/>
      <c r="E96"/>
      <c r="F96"/>
    </row>
    <row r="97" spans="1:6">
      <c r="A97" s="87">
        <v>1468</v>
      </c>
      <c r="C97" s="88"/>
      <c r="D97" s="88"/>
      <c r="E97"/>
      <c r="F97"/>
    </row>
    <row r="98" spans="1:6">
      <c r="A98" s="87">
        <v>1469</v>
      </c>
      <c r="C98" s="88"/>
      <c r="D98" s="88"/>
      <c r="E98"/>
      <c r="F98"/>
    </row>
    <row r="99" spans="1:6">
      <c r="A99" s="87">
        <v>1470</v>
      </c>
      <c r="E99"/>
      <c r="F99"/>
    </row>
    <row r="100" spans="1:6">
      <c r="A100" s="87">
        <v>1471</v>
      </c>
      <c r="E100"/>
      <c r="F100"/>
    </row>
    <row r="101" spans="1:6">
      <c r="A101" s="87">
        <v>1472</v>
      </c>
      <c r="E101"/>
      <c r="F101"/>
    </row>
    <row r="102" spans="1:6">
      <c r="A102" s="87">
        <v>1473</v>
      </c>
      <c r="E102"/>
      <c r="F102"/>
    </row>
    <row r="103" spans="1:6">
      <c r="A103" s="87">
        <v>1474</v>
      </c>
      <c r="E103"/>
      <c r="F103"/>
    </row>
    <row r="104" spans="1:6">
      <c r="A104" s="87">
        <v>1475</v>
      </c>
      <c r="E104"/>
      <c r="F104"/>
    </row>
    <row r="105" spans="1:6">
      <c r="A105" s="87">
        <v>1476</v>
      </c>
      <c r="E105"/>
      <c r="F105"/>
    </row>
    <row r="106" spans="1:6">
      <c r="A106" s="87">
        <v>1477</v>
      </c>
      <c r="E106"/>
      <c r="F106"/>
    </row>
    <row r="107" spans="1:6">
      <c r="A107" s="87">
        <v>1503</v>
      </c>
      <c r="E107"/>
      <c r="F107"/>
    </row>
    <row r="108" spans="1:6">
      <c r="A108" s="87">
        <v>1504</v>
      </c>
      <c r="E108"/>
      <c r="F108"/>
    </row>
    <row r="109" spans="1:6">
      <c r="A109" s="87">
        <v>1506</v>
      </c>
      <c r="E109"/>
      <c r="F109"/>
    </row>
    <row r="110" spans="1:6">
      <c r="A110" s="87">
        <v>1507</v>
      </c>
      <c r="E110"/>
      <c r="F110"/>
    </row>
    <row r="111" spans="1:6">
      <c r="A111" s="87">
        <v>1512</v>
      </c>
      <c r="E111"/>
      <c r="F111"/>
    </row>
    <row r="112" spans="1:6">
      <c r="A112" s="87">
        <v>1513</v>
      </c>
      <c r="E112"/>
      <c r="F112"/>
    </row>
    <row r="113" spans="1:6">
      <c r="A113" s="87">
        <v>1514</v>
      </c>
      <c r="E113"/>
      <c r="F113"/>
    </row>
    <row r="114" spans="1:6">
      <c r="A114" s="87">
        <v>1515</v>
      </c>
      <c r="E114"/>
      <c r="F114"/>
    </row>
    <row r="115" spans="1:6">
      <c r="A115" s="87">
        <v>1516</v>
      </c>
      <c r="E115"/>
      <c r="F115"/>
    </row>
    <row r="116" spans="1:6">
      <c r="A116" s="87">
        <v>1517</v>
      </c>
      <c r="E116"/>
      <c r="F116"/>
    </row>
    <row r="117" spans="1:6">
      <c r="A117" s="87">
        <v>1519</v>
      </c>
      <c r="E117"/>
      <c r="F117"/>
    </row>
    <row r="118" spans="1:6">
      <c r="A118" s="87">
        <v>1521</v>
      </c>
      <c r="E118"/>
      <c r="F118"/>
    </row>
    <row r="119" spans="1:6">
      <c r="A119" s="87">
        <v>1522</v>
      </c>
      <c r="E119"/>
      <c r="F119"/>
    </row>
    <row r="120" spans="1:6">
      <c r="A120" s="87">
        <v>1524</v>
      </c>
      <c r="E120"/>
      <c r="F120"/>
    </row>
    <row r="121" spans="1:6">
      <c r="A121" s="87">
        <v>1525</v>
      </c>
      <c r="E121"/>
      <c r="F121"/>
    </row>
    <row r="122" spans="1:6">
      <c r="A122" s="87">
        <v>1526</v>
      </c>
      <c r="E122"/>
      <c r="F122"/>
    </row>
    <row r="123" spans="1:6">
      <c r="A123" s="87">
        <v>1527</v>
      </c>
      <c r="E123"/>
      <c r="F123"/>
    </row>
    <row r="124" spans="1:6">
      <c r="A124" s="87">
        <v>1528</v>
      </c>
      <c r="E124"/>
      <c r="F124"/>
    </row>
    <row r="125" spans="1:6">
      <c r="A125" s="87">
        <v>1529</v>
      </c>
      <c r="E125"/>
      <c r="F125"/>
    </row>
    <row r="126" spans="1:6">
      <c r="A126" s="87">
        <v>1530</v>
      </c>
      <c r="E126"/>
      <c r="F126"/>
    </row>
    <row r="127" spans="1:6">
      <c r="A127" s="87">
        <v>1531</v>
      </c>
      <c r="E127"/>
      <c r="F127"/>
    </row>
    <row r="128" spans="1:6">
      <c r="A128" s="87">
        <v>1532</v>
      </c>
      <c r="E128"/>
      <c r="F128"/>
    </row>
    <row r="129" spans="1:6">
      <c r="A129" s="87">
        <v>1533</v>
      </c>
      <c r="E129"/>
      <c r="F129"/>
    </row>
    <row r="130" spans="1:6">
      <c r="A130" s="87">
        <v>1535</v>
      </c>
      <c r="E130"/>
      <c r="F130"/>
    </row>
    <row r="131" spans="1:6">
      <c r="A131" s="87">
        <v>1536</v>
      </c>
      <c r="E131"/>
      <c r="F131"/>
    </row>
    <row r="132" spans="1:6">
      <c r="A132" s="87">
        <v>1537</v>
      </c>
      <c r="E132"/>
      <c r="F132"/>
    </row>
    <row r="133" spans="1:6">
      <c r="A133" s="87">
        <v>1538</v>
      </c>
      <c r="E133"/>
      <c r="F133"/>
    </row>
    <row r="134" spans="1:6">
      <c r="A134" s="87">
        <v>1539</v>
      </c>
      <c r="E134"/>
      <c r="F134"/>
    </row>
    <row r="135" spans="1:6">
      <c r="A135" s="87">
        <v>1540</v>
      </c>
      <c r="E135"/>
      <c r="F135"/>
    </row>
    <row r="136" spans="1:6">
      <c r="A136" s="87">
        <v>1541</v>
      </c>
      <c r="E136"/>
      <c r="F136"/>
    </row>
    <row r="137" spans="1:6">
      <c r="A137" s="87">
        <v>1558</v>
      </c>
      <c r="E137"/>
      <c r="F137"/>
    </row>
    <row r="138" spans="1:6">
      <c r="A138" s="87">
        <v>1560</v>
      </c>
      <c r="E138"/>
      <c r="F138"/>
    </row>
    <row r="139" spans="1:6">
      <c r="A139" s="87">
        <v>1565</v>
      </c>
      <c r="E139"/>
      <c r="F139"/>
    </row>
    <row r="140" spans="1:6">
      <c r="A140" s="87">
        <v>1566</v>
      </c>
      <c r="E140"/>
      <c r="F140"/>
    </row>
    <row r="141" spans="1:6">
      <c r="A141" s="87">
        <v>1568</v>
      </c>
      <c r="E141"/>
      <c r="F141"/>
    </row>
    <row r="142" spans="1:6">
      <c r="A142" s="87">
        <v>1569</v>
      </c>
      <c r="E142"/>
      <c r="F142"/>
    </row>
    <row r="143" spans="1:6">
      <c r="A143" s="87">
        <v>1570</v>
      </c>
      <c r="E143"/>
      <c r="F143"/>
    </row>
    <row r="144" spans="1:6">
      <c r="A144" s="87">
        <v>1580</v>
      </c>
      <c r="E144"/>
      <c r="F144"/>
    </row>
    <row r="145" spans="1:6">
      <c r="A145" s="87">
        <v>1582</v>
      </c>
      <c r="E145"/>
      <c r="F145"/>
    </row>
    <row r="146" spans="1:6">
      <c r="A146" s="87">
        <v>1583</v>
      </c>
      <c r="E146"/>
      <c r="F146"/>
    </row>
    <row r="147" spans="1:6">
      <c r="A147" s="87">
        <v>1584</v>
      </c>
      <c r="E147"/>
      <c r="F147"/>
    </row>
    <row r="148" spans="1:6">
      <c r="A148" s="87">
        <v>1586</v>
      </c>
      <c r="E148"/>
      <c r="F148"/>
    </row>
    <row r="149" spans="1:6">
      <c r="A149" s="87">
        <v>1589</v>
      </c>
      <c r="E149"/>
      <c r="F149"/>
    </row>
    <row r="150" spans="1:6">
      <c r="A150" s="87">
        <v>1590</v>
      </c>
      <c r="E150"/>
      <c r="F150"/>
    </row>
    <row r="151" spans="1:6">
      <c r="A151" s="87">
        <v>1591</v>
      </c>
      <c r="E151"/>
      <c r="F151"/>
    </row>
    <row r="152" spans="1:6">
      <c r="A152" s="87">
        <v>1592</v>
      </c>
      <c r="E152"/>
      <c r="F152"/>
    </row>
    <row r="153" spans="1:6">
      <c r="A153" s="87">
        <v>1593</v>
      </c>
      <c r="E153"/>
      <c r="F153"/>
    </row>
    <row r="154" spans="1:6">
      <c r="A154" s="87">
        <v>1595</v>
      </c>
      <c r="E154"/>
      <c r="F154"/>
    </row>
    <row r="155" spans="1:6">
      <c r="A155" s="87">
        <v>1597</v>
      </c>
      <c r="E155"/>
      <c r="F155"/>
    </row>
    <row r="156" spans="1:6">
      <c r="A156" s="87">
        <v>1599</v>
      </c>
      <c r="E156"/>
      <c r="F156"/>
    </row>
    <row r="157" spans="1:6">
      <c r="A157" s="87">
        <v>1603</v>
      </c>
      <c r="E157"/>
      <c r="F157"/>
    </row>
    <row r="158" spans="1:6">
      <c r="A158" s="87">
        <v>1604</v>
      </c>
      <c r="E158"/>
      <c r="F158"/>
    </row>
    <row r="159" spans="1:6">
      <c r="A159" s="87">
        <v>1605</v>
      </c>
      <c r="E159"/>
      <c r="F159"/>
    </row>
    <row r="160" spans="1:6">
      <c r="A160" s="87">
        <v>1608</v>
      </c>
      <c r="E160"/>
      <c r="F160"/>
    </row>
    <row r="161" spans="1:6">
      <c r="A161" s="87">
        <v>1609</v>
      </c>
      <c r="E161"/>
      <c r="F161"/>
    </row>
    <row r="162" spans="1:6">
      <c r="A162" s="87">
        <v>1611</v>
      </c>
      <c r="E162"/>
      <c r="F162"/>
    </row>
    <row r="163" spans="1:6">
      <c r="A163" s="87">
        <v>1612</v>
      </c>
      <c r="E163"/>
      <c r="F163"/>
    </row>
    <row r="164" spans="1:6">
      <c r="A164" s="87">
        <v>1613</v>
      </c>
      <c r="E164"/>
      <c r="F164"/>
    </row>
    <row r="165" spans="1:6">
      <c r="A165" s="87">
        <v>1614</v>
      </c>
      <c r="E165"/>
      <c r="F165"/>
    </row>
    <row r="166" spans="1:6">
      <c r="A166" s="87">
        <v>1615</v>
      </c>
      <c r="E166"/>
      <c r="F166"/>
    </row>
    <row r="167" spans="1:6">
      <c r="A167" s="87">
        <v>1616</v>
      </c>
      <c r="E167"/>
      <c r="F167"/>
    </row>
    <row r="168" spans="1:6">
      <c r="A168" s="87">
        <v>1617</v>
      </c>
      <c r="E168"/>
      <c r="F168"/>
    </row>
    <row r="169" spans="1:6">
      <c r="A169" s="87">
        <v>1618</v>
      </c>
      <c r="E169"/>
      <c r="F169"/>
    </row>
    <row r="170" spans="1:6">
      <c r="A170" s="87">
        <v>1626</v>
      </c>
      <c r="E170"/>
      <c r="F170"/>
    </row>
    <row r="171" spans="1:6">
      <c r="A171" s="87">
        <v>1701</v>
      </c>
      <c r="E171"/>
      <c r="F171"/>
    </row>
    <row r="172" spans="1:6">
      <c r="A172" s="87">
        <v>1702</v>
      </c>
      <c r="E172"/>
      <c r="F172"/>
    </row>
    <row r="173" spans="1:6">
      <c r="A173" s="87">
        <v>1704</v>
      </c>
      <c r="E173"/>
      <c r="F173"/>
    </row>
    <row r="174" spans="1:6">
      <c r="A174" s="87">
        <v>1707</v>
      </c>
      <c r="E174"/>
      <c r="F174"/>
    </row>
    <row r="175" spans="1:6">
      <c r="A175" s="87">
        <v>1708</v>
      </c>
      <c r="E175"/>
      <c r="F175"/>
    </row>
    <row r="176" spans="1:6">
      <c r="A176" s="87">
        <v>1709</v>
      </c>
      <c r="E176"/>
      <c r="F176"/>
    </row>
    <row r="177" spans="1:6">
      <c r="A177" s="87">
        <v>1710</v>
      </c>
      <c r="E177"/>
      <c r="F177"/>
    </row>
    <row r="178" spans="1:6">
      <c r="A178" s="87">
        <v>1711</v>
      </c>
      <c r="E178"/>
      <c r="F178"/>
    </row>
    <row r="179" spans="1:6">
      <c r="A179" s="87">
        <v>1712</v>
      </c>
      <c r="E179"/>
      <c r="F179"/>
    </row>
    <row r="180" spans="1:6">
      <c r="A180" s="87">
        <v>1713</v>
      </c>
      <c r="E180"/>
      <c r="F180"/>
    </row>
    <row r="181" spans="1:6">
      <c r="A181" s="87">
        <v>1714</v>
      </c>
      <c r="E181"/>
      <c r="F181"/>
    </row>
    <row r="182" spans="1:6">
      <c r="A182" s="87">
        <v>1715</v>
      </c>
      <c r="E182"/>
      <c r="F182"/>
    </row>
    <row r="183" spans="1:6">
      <c r="A183" s="87">
        <v>1717</v>
      </c>
      <c r="E183"/>
      <c r="F183"/>
    </row>
    <row r="184" spans="1:6">
      <c r="A184" s="87">
        <v>1718</v>
      </c>
      <c r="E184"/>
      <c r="F184"/>
    </row>
    <row r="185" spans="1:6">
      <c r="A185" s="87">
        <v>1720</v>
      </c>
      <c r="E185"/>
      <c r="F185"/>
    </row>
    <row r="186" spans="1:6">
      <c r="A186" s="87">
        <v>1721</v>
      </c>
      <c r="E186"/>
      <c r="F186"/>
    </row>
    <row r="187" spans="1:6">
      <c r="A187" s="87">
        <v>1722</v>
      </c>
      <c r="E187"/>
      <c r="F187"/>
    </row>
    <row r="188" spans="1:6">
      <c r="A188" s="87">
        <v>1723</v>
      </c>
      <c r="E188"/>
      <c r="F188"/>
    </row>
    <row r="189" spans="1:6">
      <c r="A189" s="87">
        <v>1724</v>
      </c>
      <c r="E189"/>
      <c r="F189"/>
    </row>
    <row r="190" spans="1:6">
      <c r="A190" s="87">
        <v>1725</v>
      </c>
      <c r="E190"/>
      <c r="F190"/>
    </row>
    <row r="191" spans="1:6">
      <c r="A191" s="87">
        <v>1726</v>
      </c>
      <c r="E191"/>
      <c r="F191"/>
    </row>
    <row r="192" spans="1:6">
      <c r="A192" s="87">
        <v>1727</v>
      </c>
      <c r="E192"/>
      <c r="F192"/>
    </row>
    <row r="193" spans="1:6">
      <c r="A193" s="87">
        <v>1729</v>
      </c>
      <c r="E193"/>
      <c r="F193"/>
    </row>
    <row r="194" spans="1:6">
      <c r="A194" s="87">
        <v>1730</v>
      </c>
      <c r="E194"/>
      <c r="F194"/>
    </row>
    <row r="195" spans="1:6">
      <c r="A195" s="87">
        <v>1731</v>
      </c>
      <c r="E195"/>
      <c r="F195"/>
    </row>
    <row r="196" spans="1:6">
      <c r="A196" s="87">
        <v>1732</v>
      </c>
      <c r="E196"/>
      <c r="F196"/>
    </row>
    <row r="197" spans="1:6">
      <c r="A197" s="87">
        <v>1733</v>
      </c>
      <c r="E197"/>
      <c r="F197"/>
    </row>
    <row r="198" spans="1:6">
      <c r="A198" s="87">
        <v>1734</v>
      </c>
      <c r="E198"/>
      <c r="F198"/>
    </row>
    <row r="199" spans="1:6">
      <c r="A199" s="87">
        <v>1735</v>
      </c>
      <c r="E199"/>
      <c r="F199"/>
    </row>
    <row r="200" spans="1:6">
      <c r="A200" s="87">
        <v>1736</v>
      </c>
      <c r="E200"/>
      <c r="F200"/>
    </row>
    <row r="201" spans="1:6">
      <c r="A201" s="87">
        <v>1737</v>
      </c>
      <c r="E201"/>
      <c r="F201"/>
    </row>
    <row r="202" spans="1:6">
      <c r="A202" s="87">
        <v>1742</v>
      </c>
      <c r="E202"/>
      <c r="F202"/>
    </row>
    <row r="203" spans="1:6">
      <c r="A203" s="87">
        <v>1752</v>
      </c>
      <c r="E203"/>
      <c r="F203"/>
    </row>
    <row r="204" spans="1:6">
      <c r="A204" s="87">
        <v>1762</v>
      </c>
      <c r="E204"/>
      <c r="F204"/>
    </row>
    <row r="205" spans="1:6">
      <c r="A205" s="87">
        <v>1773</v>
      </c>
      <c r="E205"/>
      <c r="F205"/>
    </row>
    <row r="206" spans="1:6">
      <c r="A206" s="87">
        <v>1777</v>
      </c>
      <c r="E206"/>
      <c r="F206"/>
    </row>
    <row r="207" spans="1:6">
      <c r="A207" s="87">
        <v>1781</v>
      </c>
      <c r="E207"/>
      <c r="F207"/>
    </row>
    <row r="208" spans="1:6">
      <c r="A208" s="87">
        <v>1783</v>
      </c>
      <c r="E208"/>
      <c r="F208"/>
    </row>
    <row r="209" spans="1:6">
      <c r="A209" s="87">
        <v>1784</v>
      </c>
      <c r="E209"/>
      <c r="F209"/>
    </row>
    <row r="210" spans="1:6">
      <c r="A210" s="87">
        <v>1785</v>
      </c>
      <c r="E210"/>
      <c r="F210"/>
    </row>
    <row r="211" spans="1:6">
      <c r="A211" s="87">
        <v>1786</v>
      </c>
      <c r="E211"/>
      <c r="F211"/>
    </row>
    <row r="212" spans="1:6">
      <c r="A212" s="87">
        <v>1787</v>
      </c>
      <c r="E212"/>
      <c r="F212"/>
    </row>
    <row r="213" spans="1:6">
      <c r="A213" s="87">
        <v>1788</v>
      </c>
      <c r="E213"/>
      <c r="F213"/>
    </row>
    <row r="214" spans="1:6">
      <c r="A214" s="87">
        <v>1789</v>
      </c>
      <c r="E214"/>
      <c r="F214"/>
    </row>
    <row r="215" spans="1:6">
      <c r="A215" s="87">
        <v>1795</v>
      </c>
      <c r="E215"/>
      <c r="F215"/>
    </row>
    <row r="216" spans="1:6">
      <c r="A216" s="87">
        <v>1799</v>
      </c>
      <c r="E216"/>
      <c r="F216"/>
    </row>
    <row r="217" spans="1:6">
      <c r="A217" s="87">
        <v>1802</v>
      </c>
      <c r="E217"/>
      <c r="F217"/>
    </row>
    <row r="218" spans="1:6">
      <c r="A218" s="87">
        <v>1805</v>
      </c>
      <c r="E218"/>
      <c r="F218"/>
    </row>
    <row r="219" spans="1:6">
      <c r="A219" s="87">
        <v>1806</v>
      </c>
      <c r="E219"/>
      <c r="F219"/>
    </row>
    <row r="220" spans="1:6">
      <c r="A220" s="87">
        <v>1808</v>
      </c>
      <c r="E220"/>
      <c r="F220"/>
    </row>
    <row r="221" spans="1:6">
      <c r="A221" s="87">
        <v>1809</v>
      </c>
      <c r="E221"/>
      <c r="F221"/>
    </row>
    <row r="222" spans="1:6">
      <c r="A222" s="87">
        <v>1810</v>
      </c>
      <c r="E222"/>
      <c r="F222"/>
    </row>
    <row r="223" spans="1:6">
      <c r="A223" s="87">
        <v>1813</v>
      </c>
      <c r="E223"/>
      <c r="F223"/>
    </row>
    <row r="224" spans="1:6">
      <c r="A224" s="87">
        <v>1815</v>
      </c>
      <c r="E224"/>
      <c r="F224"/>
    </row>
    <row r="225" spans="1:6">
      <c r="A225" s="87">
        <v>1902</v>
      </c>
      <c r="E225"/>
      <c r="F225"/>
    </row>
    <row r="226" spans="1:6">
      <c r="A226" s="87">
        <v>1903</v>
      </c>
      <c r="E226"/>
      <c r="F226"/>
    </row>
    <row r="227" spans="1:6">
      <c r="A227" s="87">
        <v>1904</v>
      </c>
      <c r="E227"/>
      <c r="F227"/>
    </row>
    <row r="228" spans="1:6">
      <c r="A228" s="87">
        <v>1905</v>
      </c>
      <c r="E228"/>
      <c r="F228"/>
    </row>
    <row r="229" spans="1:6">
      <c r="A229" s="87">
        <v>1906</v>
      </c>
      <c r="E229"/>
      <c r="F229"/>
    </row>
    <row r="230" spans="1:6">
      <c r="A230" s="87">
        <v>1907</v>
      </c>
      <c r="E230"/>
      <c r="F230"/>
    </row>
    <row r="231" spans="1:6">
      <c r="A231" s="87">
        <v>1909</v>
      </c>
      <c r="E231"/>
      <c r="F231"/>
    </row>
    <row r="232" spans="1:6">
      <c r="A232" s="87">
        <v>2002</v>
      </c>
      <c r="E232"/>
      <c r="F232"/>
    </row>
    <row r="233" spans="1:6">
      <c r="A233" s="87">
        <v>2006</v>
      </c>
      <c r="E233"/>
      <c r="F233"/>
    </row>
    <row r="234" spans="1:6">
      <c r="A234" s="87">
        <v>2007</v>
      </c>
      <c r="E234"/>
      <c r="F234"/>
    </row>
    <row r="235" spans="1:6">
      <c r="A235" s="87">
        <v>2008</v>
      </c>
      <c r="E235"/>
      <c r="F235"/>
    </row>
    <row r="236" spans="1:6">
      <c r="A236" s="87">
        <v>2009</v>
      </c>
      <c r="E236"/>
      <c r="F236"/>
    </row>
    <row r="237" spans="1:6">
      <c r="A237" s="87">
        <v>2010</v>
      </c>
      <c r="E237"/>
      <c r="F237"/>
    </row>
    <row r="238" spans="1:6">
      <c r="A238" s="87">
        <v>2012</v>
      </c>
      <c r="E238"/>
      <c r="F238"/>
    </row>
    <row r="239" spans="1:6">
      <c r="A239" s="87">
        <v>2013</v>
      </c>
      <c r="E239"/>
      <c r="F239"/>
    </row>
    <row r="240" spans="1:6">
      <c r="A240" s="87">
        <v>2014</v>
      </c>
      <c r="E240"/>
      <c r="F240"/>
    </row>
    <row r="241" spans="1:6">
      <c r="A241" s="87">
        <v>2015</v>
      </c>
      <c r="E241"/>
      <c r="F241"/>
    </row>
    <row r="242" spans="1:6">
      <c r="A242" s="87">
        <v>2017</v>
      </c>
      <c r="E242"/>
      <c r="F242"/>
    </row>
    <row r="243" spans="1:6">
      <c r="A243" s="87">
        <v>2020</v>
      </c>
      <c r="E243"/>
      <c r="F243"/>
    </row>
    <row r="244" spans="1:6">
      <c r="A244" s="87">
        <v>2022</v>
      </c>
      <c r="E244"/>
      <c r="F244"/>
    </row>
    <row r="245" spans="1:6">
      <c r="A245" s="87">
        <v>2023</v>
      </c>
      <c r="E245"/>
      <c r="F245"/>
    </row>
    <row r="246" spans="1:6">
      <c r="A246" s="87">
        <v>2024</v>
      </c>
      <c r="E246"/>
      <c r="F246"/>
    </row>
    <row r="247" spans="1:6">
      <c r="A247" s="87">
        <v>2025</v>
      </c>
      <c r="E247"/>
      <c r="F247"/>
    </row>
    <row r="248" spans="1:6">
      <c r="A248" s="87">
        <v>2027</v>
      </c>
      <c r="E248"/>
      <c r="F248"/>
    </row>
    <row r="249" spans="1:6">
      <c r="A249" s="87">
        <v>2028</v>
      </c>
      <c r="E249"/>
      <c r="F249"/>
    </row>
    <row r="250" spans="1:6">
      <c r="A250" s="87">
        <v>2029</v>
      </c>
      <c r="E250"/>
      <c r="F250"/>
    </row>
    <row r="251" spans="1:6">
      <c r="A251" s="87">
        <v>2030</v>
      </c>
      <c r="E251"/>
      <c r="F251"/>
    </row>
    <row r="252" spans="1:6">
      <c r="A252" s="87">
        <v>2031</v>
      </c>
      <c r="E252"/>
      <c r="F252"/>
    </row>
    <row r="253" spans="1:6">
      <c r="A253" s="87">
        <v>2032</v>
      </c>
      <c r="E253"/>
      <c r="F253"/>
    </row>
    <row r="254" spans="1:6">
      <c r="A254" s="87">
        <v>2033</v>
      </c>
      <c r="E254"/>
      <c r="F254"/>
    </row>
    <row r="255" spans="1:6">
      <c r="A255" s="87">
        <v>2034</v>
      </c>
      <c r="E255"/>
      <c r="F255"/>
    </row>
    <row r="256" spans="1:6">
      <c r="A256" s="87">
        <v>2035</v>
      </c>
      <c r="E256"/>
      <c r="F256"/>
    </row>
    <row r="257" spans="1:6">
      <c r="A257" s="87">
        <v>2038</v>
      </c>
      <c r="E257"/>
      <c r="F257"/>
    </row>
    <row r="258" spans="1:6">
      <c r="A258" s="87">
        <v>2049</v>
      </c>
      <c r="E258"/>
      <c r="F258"/>
    </row>
    <row r="259" spans="1:6">
      <c r="A259" s="87">
        <v>2059</v>
      </c>
      <c r="E259"/>
      <c r="F259"/>
    </row>
    <row r="260" spans="1:6">
      <c r="A260" s="87">
        <v>2061</v>
      </c>
      <c r="E260"/>
      <c r="F260"/>
    </row>
    <row r="261" spans="1:6">
      <c r="A261" s="87">
        <v>2062</v>
      </c>
      <c r="E261"/>
      <c r="F261"/>
    </row>
    <row r="262" spans="1:6">
      <c r="A262" s="87">
        <v>2063</v>
      </c>
      <c r="E262"/>
      <c r="F262"/>
    </row>
    <row r="263" spans="1:6">
      <c r="A263" s="87">
        <v>2064</v>
      </c>
      <c r="E263"/>
      <c r="F263"/>
    </row>
    <row r="264" spans="1:6">
      <c r="A264" s="87">
        <v>2066</v>
      </c>
      <c r="E264"/>
      <c r="F264"/>
    </row>
    <row r="265" spans="1:6">
      <c r="A265" s="87">
        <v>2067</v>
      </c>
      <c r="E265"/>
      <c r="F265"/>
    </row>
    <row r="266" spans="1:6">
      <c r="A266" s="87">
        <v>2101</v>
      </c>
      <c r="E266"/>
      <c r="F266"/>
    </row>
    <row r="267" spans="1:6">
      <c r="A267" s="87">
        <v>2102</v>
      </c>
      <c r="E267"/>
      <c r="F267"/>
    </row>
    <row r="268" spans="1:6">
      <c r="A268" s="87">
        <v>2103</v>
      </c>
      <c r="E268"/>
      <c r="F268"/>
    </row>
    <row r="269" spans="1:6">
      <c r="A269" s="87">
        <v>2104</v>
      </c>
      <c r="E269"/>
      <c r="F269"/>
    </row>
    <row r="270" spans="1:6">
      <c r="A270" s="87">
        <v>2105</v>
      </c>
      <c r="E270"/>
      <c r="F270"/>
    </row>
    <row r="271" spans="1:6">
      <c r="A271" s="87">
        <v>2106</v>
      </c>
      <c r="E271"/>
      <c r="F271"/>
    </row>
    <row r="272" spans="1:6">
      <c r="A272" s="87">
        <v>2107</v>
      </c>
      <c r="E272"/>
      <c r="F272"/>
    </row>
    <row r="273" spans="1:6">
      <c r="A273" s="87">
        <v>2108</v>
      </c>
      <c r="E273"/>
      <c r="F273"/>
    </row>
    <row r="274" spans="1:6">
      <c r="A274" s="87">
        <v>2109</v>
      </c>
      <c r="E274"/>
      <c r="F274"/>
    </row>
    <row r="275" spans="1:6">
      <c r="A275" s="87">
        <v>2114</v>
      </c>
      <c r="E275"/>
      <c r="F275"/>
    </row>
    <row r="276" spans="1:6">
      <c r="A276" s="87">
        <v>2115</v>
      </c>
      <c r="E276"/>
      <c r="F276"/>
    </row>
    <row r="277" spans="1:6">
      <c r="A277" s="87">
        <v>2201</v>
      </c>
      <c r="E277"/>
      <c r="F277"/>
    </row>
    <row r="278" spans="1:6">
      <c r="A278" s="87">
        <v>2204</v>
      </c>
      <c r="E278"/>
      <c r="F278"/>
    </row>
    <row r="279" spans="1:6">
      <c r="A279" s="87">
        <v>2206</v>
      </c>
      <c r="E279"/>
      <c r="F279"/>
    </row>
    <row r="280" spans="1:6">
      <c r="A280" s="87">
        <v>2207</v>
      </c>
      <c r="E280"/>
      <c r="F280"/>
    </row>
    <row r="281" spans="1:6">
      <c r="A281" s="87">
        <v>2208</v>
      </c>
      <c r="E281"/>
      <c r="F281"/>
    </row>
    <row r="282" spans="1:6">
      <c r="A282" s="87">
        <v>2221</v>
      </c>
      <c r="E282"/>
      <c r="F282"/>
    </row>
    <row r="283" spans="1:6">
      <c r="A283" s="87">
        <v>2227</v>
      </c>
      <c r="E283"/>
      <c r="F283"/>
    </row>
    <row r="284" spans="1:6">
      <c r="A284" s="87">
        <v>2228</v>
      </c>
      <c r="E284"/>
      <c r="F284"/>
    </row>
    <row r="285" spans="1:6">
      <c r="A285" s="87">
        <v>2230</v>
      </c>
      <c r="E285"/>
      <c r="F285"/>
    </row>
    <row r="286" spans="1:6">
      <c r="A286" s="87">
        <v>2231</v>
      </c>
      <c r="E286"/>
      <c r="F286"/>
    </row>
    <row r="287" spans="1:6">
      <c r="A287" s="87">
        <v>2233</v>
      </c>
      <c r="E287"/>
      <c r="F287"/>
    </row>
    <row r="288" spans="1:6">
      <c r="A288" s="87">
        <v>2235</v>
      </c>
      <c r="E288"/>
      <c r="F288"/>
    </row>
    <row r="289" spans="1:6">
      <c r="A289" s="87">
        <v>2301</v>
      </c>
      <c r="E289"/>
      <c r="F289"/>
    </row>
    <row r="290" spans="1:6">
      <c r="A290" s="87">
        <v>2302</v>
      </c>
      <c r="E290"/>
      <c r="F290"/>
    </row>
    <row r="291" spans="1:6">
      <c r="A291" s="87">
        <v>2303</v>
      </c>
      <c r="E291"/>
      <c r="F291"/>
    </row>
    <row r="292" spans="1:6">
      <c r="A292" s="87">
        <v>2305</v>
      </c>
      <c r="E292"/>
      <c r="F292"/>
    </row>
    <row r="293" spans="1:6">
      <c r="A293" s="87">
        <v>2308</v>
      </c>
      <c r="E293"/>
      <c r="F293"/>
    </row>
    <row r="294" spans="1:6">
      <c r="A294" s="87">
        <v>2311</v>
      </c>
      <c r="E294"/>
      <c r="F294"/>
    </row>
    <row r="295" spans="1:6">
      <c r="A295" s="87">
        <v>2312</v>
      </c>
      <c r="E295"/>
      <c r="F295"/>
    </row>
    <row r="296" spans="1:6">
      <c r="A296" s="87">
        <v>2313</v>
      </c>
      <c r="E296"/>
      <c r="F296"/>
    </row>
    <row r="297" spans="1:6">
      <c r="A297" s="87">
        <v>2314</v>
      </c>
      <c r="E297"/>
      <c r="F297"/>
    </row>
    <row r="298" spans="1:6">
      <c r="A298" s="87">
        <v>2316</v>
      </c>
      <c r="E298"/>
      <c r="F298"/>
    </row>
    <row r="299" spans="1:6">
      <c r="A299" s="87">
        <v>2317</v>
      </c>
      <c r="E299"/>
      <c r="F299"/>
    </row>
    <row r="300" spans="1:6">
      <c r="A300" s="87">
        <v>2321</v>
      </c>
      <c r="E300"/>
      <c r="F300"/>
    </row>
    <row r="301" spans="1:6">
      <c r="A301" s="87">
        <v>2323</v>
      </c>
      <c r="E301"/>
      <c r="F301"/>
    </row>
    <row r="302" spans="1:6">
      <c r="A302" s="87">
        <v>2324</v>
      </c>
      <c r="E302"/>
      <c r="F302"/>
    </row>
    <row r="303" spans="1:6">
      <c r="A303" s="87">
        <v>2325</v>
      </c>
      <c r="E303"/>
      <c r="F303"/>
    </row>
    <row r="304" spans="1:6">
      <c r="A304" s="87">
        <v>2327</v>
      </c>
      <c r="E304"/>
      <c r="F304"/>
    </row>
    <row r="305" spans="1:6">
      <c r="A305" s="87">
        <v>2328</v>
      </c>
      <c r="E305"/>
      <c r="F305"/>
    </row>
    <row r="306" spans="1:6">
      <c r="A306" s="87">
        <v>2329</v>
      </c>
      <c r="E306"/>
      <c r="F306"/>
    </row>
    <row r="307" spans="1:6">
      <c r="A307" s="87">
        <v>2330</v>
      </c>
      <c r="E307"/>
      <c r="F307"/>
    </row>
    <row r="308" spans="1:6">
      <c r="A308" s="87">
        <v>2331</v>
      </c>
      <c r="E308"/>
      <c r="F308"/>
    </row>
    <row r="309" spans="1:6">
      <c r="A309" s="87">
        <v>2332</v>
      </c>
      <c r="E309"/>
      <c r="F309"/>
    </row>
    <row r="310" spans="1:6">
      <c r="A310" s="87">
        <v>2337</v>
      </c>
      <c r="E310"/>
      <c r="F310"/>
    </row>
    <row r="311" spans="1:6">
      <c r="A311" s="87">
        <v>2338</v>
      </c>
      <c r="E311"/>
      <c r="F311"/>
    </row>
    <row r="312" spans="1:6">
      <c r="A312" s="87">
        <v>2340</v>
      </c>
      <c r="E312"/>
      <c r="F312"/>
    </row>
    <row r="313" spans="1:6">
      <c r="A313" s="87">
        <v>2342</v>
      </c>
      <c r="E313"/>
      <c r="F313"/>
    </row>
    <row r="314" spans="1:6">
      <c r="A314" s="87">
        <v>2344</v>
      </c>
      <c r="E314"/>
      <c r="F314"/>
    </row>
    <row r="315" spans="1:6">
      <c r="A315" s="87">
        <v>2345</v>
      </c>
      <c r="E315"/>
      <c r="F315"/>
    </row>
    <row r="316" spans="1:6">
      <c r="A316" s="87">
        <v>2347</v>
      </c>
      <c r="E316"/>
      <c r="F316"/>
    </row>
    <row r="317" spans="1:6">
      <c r="A317" s="87">
        <v>2348</v>
      </c>
      <c r="E317"/>
      <c r="F317"/>
    </row>
    <row r="318" spans="1:6">
      <c r="A318" s="87">
        <v>2349</v>
      </c>
      <c r="E318"/>
      <c r="F318"/>
    </row>
    <row r="319" spans="1:6">
      <c r="A319" s="87">
        <v>2351</v>
      </c>
      <c r="E319"/>
      <c r="F319"/>
    </row>
    <row r="320" spans="1:6">
      <c r="A320" s="87">
        <v>2352</v>
      </c>
      <c r="E320"/>
      <c r="F320"/>
    </row>
    <row r="321" spans="1:6">
      <c r="A321" s="87">
        <v>2353</v>
      </c>
      <c r="E321"/>
      <c r="F321"/>
    </row>
    <row r="322" spans="1:6">
      <c r="A322" s="87">
        <v>2354</v>
      </c>
      <c r="E322"/>
      <c r="F322"/>
    </row>
    <row r="323" spans="1:6">
      <c r="A323" s="87">
        <v>2355</v>
      </c>
      <c r="E323"/>
      <c r="F323"/>
    </row>
    <row r="324" spans="1:6">
      <c r="A324" s="87">
        <v>2356</v>
      </c>
      <c r="E324"/>
      <c r="F324"/>
    </row>
    <row r="325" spans="1:6">
      <c r="A325" s="87">
        <v>2357</v>
      </c>
      <c r="E325"/>
      <c r="F325"/>
    </row>
    <row r="326" spans="1:6">
      <c r="A326" s="87">
        <v>2358</v>
      </c>
      <c r="E326"/>
      <c r="F326"/>
    </row>
    <row r="327" spans="1:6">
      <c r="A327" s="87">
        <v>2359</v>
      </c>
      <c r="E327"/>
      <c r="F327"/>
    </row>
    <row r="328" spans="1:6">
      <c r="A328" s="87">
        <v>2360</v>
      </c>
      <c r="E328"/>
      <c r="F328"/>
    </row>
    <row r="329" spans="1:6">
      <c r="A329" s="87">
        <v>2361</v>
      </c>
      <c r="E329"/>
      <c r="F329"/>
    </row>
    <row r="330" spans="1:6">
      <c r="A330" s="87">
        <v>2362</v>
      </c>
      <c r="E330"/>
      <c r="F330"/>
    </row>
    <row r="331" spans="1:6">
      <c r="A331" s="87">
        <v>2363</v>
      </c>
      <c r="E331"/>
      <c r="F331"/>
    </row>
    <row r="332" spans="1:6">
      <c r="A332" s="87">
        <v>2364</v>
      </c>
      <c r="E332"/>
      <c r="F332"/>
    </row>
    <row r="333" spans="1:6">
      <c r="A333" s="87">
        <v>2365</v>
      </c>
      <c r="E333"/>
      <c r="F333"/>
    </row>
    <row r="334" spans="1:6">
      <c r="A334" s="87">
        <v>2367</v>
      </c>
      <c r="E334"/>
      <c r="F334"/>
    </row>
    <row r="335" spans="1:6">
      <c r="A335" s="87">
        <v>2368</v>
      </c>
      <c r="E335"/>
      <c r="F335"/>
    </row>
    <row r="336" spans="1:6">
      <c r="A336" s="87">
        <v>2369</v>
      </c>
      <c r="E336"/>
      <c r="F336"/>
    </row>
    <row r="337" spans="1:6">
      <c r="A337" s="87">
        <v>2371</v>
      </c>
      <c r="E337"/>
      <c r="F337"/>
    </row>
    <row r="338" spans="1:6">
      <c r="A338" s="87">
        <v>2373</v>
      </c>
      <c r="E338"/>
      <c r="F338"/>
    </row>
    <row r="339" spans="1:6">
      <c r="A339" s="87">
        <v>2374</v>
      </c>
      <c r="E339"/>
      <c r="F339"/>
    </row>
    <row r="340" spans="1:6">
      <c r="A340" s="87">
        <v>2375</v>
      </c>
      <c r="E340"/>
      <c r="F340"/>
    </row>
    <row r="341" spans="1:6">
      <c r="A341" s="87">
        <v>2376</v>
      </c>
      <c r="E341"/>
      <c r="F341"/>
    </row>
    <row r="342" spans="1:6">
      <c r="A342" s="87">
        <v>2377</v>
      </c>
      <c r="E342"/>
      <c r="F342"/>
    </row>
    <row r="343" spans="1:6">
      <c r="A343" s="87">
        <v>2379</v>
      </c>
      <c r="E343"/>
      <c r="F343"/>
    </row>
    <row r="344" spans="1:6">
      <c r="A344" s="87">
        <v>2380</v>
      </c>
      <c r="E344"/>
      <c r="F344"/>
    </row>
    <row r="345" spans="1:6">
      <c r="A345" s="87">
        <v>2382</v>
      </c>
      <c r="E345"/>
      <c r="F345"/>
    </row>
    <row r="346" spans="1:6">
      <c r="A346" s="87">
        <v>2383</v>
      </c>
      <c r="E346"/>
      <c r="F346"/>
    </row>
    <row r="347" spans="1:6">
      <c r="A347" s="87">
        <v>2385</v>
      </c>
      <c r="E347"/>
      <c r="F347"/>
    </row>
    <row r="348" spans="1:6">
      <c r="A348" s="87">
        <v>2387</v>
      </c>
      <c r="E348"/>
      <c r="F348"/>
    </row>
    <row r="349" spans="1:6">
      <c r="A349" s="87">
        <v>2388</v>
      </c>
      <c r="E349"/>
      <c r="F349"/>
    </row>
    <row r="350" spans="1:6">
      <c r="A350" s="87">
        <v>2390</v>
      </c>
      <c r="E350"/>
      <c r="F350"/>
    </row>
    <row r="351" spans="1:6">
      <c r="A351" s="87">
        <v>2392</v>
      </c>
      <c r="E351"/>
      <c r="F351"/>
    </row>
    <row r="352" spans="1:6">
      <c r="A352" s="87">
        <v>2393</v>
      </c>
      <c r="E352"/>
      <c r="F352"/>
    </row>
    <row r="353" spans="1:6">
      <c r="A353" s="87">
        <v>2395</v>
      </c>
      <c r="E353"/>
      <c r="F353"/>
    </row>
    <row r="354" spans="1:6">
      <c r="A354" s="87">
        <v>2397</v>
      </c>
      <c r="E354"/>
      <c r="F354"/>
    </row>
    <row r="355" spans="1:6">
      <c r="A355" s="87">
        <v>2399</v>
      </c>
      <c r="E355"/>
      <c r="F355"/>
    </row>
    <row r="356" spans="1:6">
      <c r="A356" s="87">
        <v>2401</v>
      </c>
      <c r="E356"/>
      <c r="F356"/>
    </row>
    <row r="357" spans="1:6">
      <c r="A357" s="87">
        <v>2402</v>
      </c>
      <c r="E357"/>
      <c r="F357"/>
    </row>
    <row r="358" spans="1:6">
      <c r="A358" s="87">
        <v>2404</v>
      </c>
      <c r="E358"/>
      <c r="F358"/>
    </row>
    <row r="359" spans="1:6">
      <c r="A359" s="87">
        <v>2405</v>
      </c>
      <c r="E359"/>
      <c r="F359"/>
    </row>
    <row r="360" spans="1:6">
      <c r="A360" s="87">
        <v>2406</v>
      </c>
      <c r="E360"/>
      <c r="F360"/>
    </row>
    <row r="361" spans="1:6">
      <c r="A361" s="87">
        <v>2408</v>
      </c>
      <c r="E361"/>
      <c r="F361"/>
    </row>
    <row r="362" spans="1:6">
      <c r="A362" s="87">
        <v>2409</v>
      </c>
      <c r="E362"/>
      <c r="F362"/>
    </row>
    <row r="363" spans="1:6">
      <c r="A363" s="87">
        <v>2412</v>
      </c>
      <c r="E363"/>
      <c r="F363"/>
    </row>
    <row r="364" spans="1:6">
      <c r="A364" s="87">
        <v>2413</v>
      </c>
      <c r="E364"/>
      <c r="F364"/>
    </row>
    <row r="365" spans="1:6">
      <c r="A365" s="87">
        <v>2414</v>
      </c>
      <c r="E365"/>
      <c r="F365"/>
    </row>
    <row r="366" spans="1:6">
      <c r="A366" s="87">
        <v>2415</v>
      </c>
      <c r="E366"/>
      <c r="F366"/>
    </row>
    <row r="367" spans="1:6">
      <c r="A367" s="87">
        <v>2417</v>
      </c>
      <c r="E367"/>
      <c r="F367"/>
    </row>
    <row r="368" spans="1:6">
      <c r="A368" s="87">
        <v>2419</v>
      </c>
      <c r="E368"/>
      <c r="F368"/>
    </row>
    <row r="369" spans="1:6">
      <c r="A369" s="87">
        <v>2420</v>
      </c>
      <c r="E369"/>
      <c r="F369"/>
    </row>
    <row r="370" spans="1:6">
      <c r="A370" s="87">
        <v>2421</v>
      </c>
      <c r="E370"/>
      <c r="F370"/>
    </row>
    <row r="371" spans="1:6">
      <c r="A371" s="87">
        <v>2423</v>
      </c>
      <c r="E371"/>
      <c r="F371"/>
    </row>
    <row r="372" spans="1:6">
      <c r="A372" s="87">
        <v>2424</v>
      </c>
      <c r="E372"/>
      <c r="F372"/>
    </row>
    <row r="373" spans="1:6">
      <c r="A373" s="87">
        <v>2425</v>
      </c>
      <c r="E373"/>
      <c r="F373"/>
    </row>
    <row r="374" spans="1:6">
      <c r="A374" s="87">
        <v>2426</v>
      </c>
      <c r="E374"/>
      <c r="F374"/>
    </row>
    <row r="375" spans="1:6">
      <c r="A375" s="87">
        <v>2427</v>
      </c>
      <c r="E375"/>
      <c r="F375"/>
    </row>
    <row r="376" spans="1:6">
      <c r="A376" s="87">
        <v>2428</v>
      </c>
      <c r="E376"/>
      <c r="F376"/>
    </row>
    <row r="377" spans="1:6">
      <c r="A377" s="87">
        <v>2429</v>
      </c>
      <c r="E377"/>
      <c r="F377"/>
    </row>
    <row r="378" spans="1:6">
      <c r="A378" s="87">
        <v>2430</v>
      </c>
      <c r="E378"/>
      <c r="F378"/>
    </row>
    <row r="379" spans="1:6">
      <c r="A379" s="87">
        <v>2431</v>
      </c>
      <c r="E379"/>
      <c r="F379"/>
    </row>
    <row r="380" spans="1:6">
      <c r="A380" s="87">
        <v>2433</v>
      </c>
      <c r="E380"/>
      <c r="F380"/>
    </row>
    <row r="381" spans="1:6">
      <c r="A381" s="87">
        <v>2434</v>
      </c>
      <c r="E381"/>
      <c r="F381"/>
    </row>
    <row r="382" spans="1:6">
      <c r="A382" s="87">
        <v>2436</v>
      </c>
      <c r="E382"/>
      <c r="F382"/>
    </row>
    <row r="383" spans="1:6">
      <c r="A383" s="87">
        <v>2437</v>
      </c>
      <c r="E383"/>
      <c r="F383"/>
    </row>
    <row r="384" spans="1:6">
      <c r="A384" s="87">
        <v>2438</v>
      </c>
      <c r="E384"/>
      <c r="F384"/>
    </row>
    <row r="385" spans="1:6">
      <c r="A385" s="87">
        <v>2439</v>
      </c>
      <c r="E385"/>
      <c r="F385"/>
    </row>
    <row r="386" spans="1:6">
      <c r="A386" s="87">
        <v>2440</v>
      </c>
      <c r="E386"/>
      <c r="F386"/>
    </row>
    <row r="387" spans="1:6">
      <c r="A387" s="87">
        <v>2441</v>
      </c>
      <c r="E387"/>
      <c r="F387"/>
    </row>
    <row r="388" spans="1:6">
      <c r="A388" s="87">
        <v>2442</v>
      </c>
      <c r="E388"/>
      <c r="F388"/>
    </row>
    <row r="389" spans="1:6">
      <c r="A389" s="87">
        <v>2443</v>
      </c>
      <c r="E389"/>
      <c r="F389"/>
    </row>
    <row r="390" spans="1:6">
      <c r="A390" s="87">
        <v>2444</v>
      </c>
      <c r="E390"/>
      <c r="F390"/>
    </row>
    <row r="391" spans="1:6">
      <c r="A391" s="87">
        <v>2448</v>
      </c>
      <c r="E391"/>
      <c r="F391"/>
    </row>
    <row r="392" spans="1:6">
      <c r="A392" s="87">
        <v>2449</v>
      </c>
      <c r="E392"/>
      <c r="F392"/>
    </row>
    <row r="393" spans="1:6">
      <c r="A393" s="87">
        <v>2450</v>
      </c>
      <c r="E393"/>
      <c r="F393"/>
    </row>
    <row r="394" spans="1:6">
      <c r="A394" s="87">
        <v>2451</v>
      </c>
      <c r="E394"/>
      <c r="F394"/>
    </row>
    <row r="395" spans="1:6">
      <c r="A395" s="87">
        <v>2453</v>
      </c>
      <c r="E395"/>
      <c r="F395"/>
    </row>
    <row r="396" spans="1:6">
      <c r="A396" s="87">
        <v>2454</v>
      </c>
      <c r="E396"/>
      <c r="F396"/>
    </row>
    <row r="397" spans="1:6">
      <c r="A397" s="87">
        <v>2455</v>
      </c>
      <c r="E397"/>
      <c r="F397"/>
    </row>
    <row r="398" spans="1:6">
      <c r="A398" s="87">
        <v>2456</v>
      </c>
      <c r="E398"/>
      <c r="F398"/>
    </row>
    <row r="399" spans="1:6">
      <c r="A399" s="87">
        <v>2457</v>
      </c>
      <c r="E399"/>
      <c r="F399"/>
    </row>
    <row r="400" spans="1:6">
      <c r="A400" s="87">
        <v>2458</v>
      </c>
      <c r="E400"/>
      <c r="F400"/>
    </row>
    <row r="401" spans="1:6">
      <c r="A401" s="87">
        <v>2459</v>
      </c>
      <c r="E401"/>
      <c r="F401"/>
    </row>
    <row r="402" spans="1:6">
      <c r="A402" s="87">
        <v>2460</v>
      </c>
      <c r="E402"/>
      <c r="F402"/>
    </row>
    <row r="403" spans="1:6">
      <c r="A403" s="87">
        <v>2461</v>
      </c>
      <c r="E403"/>
      <c r="F403"/>
    </row>
    <row r="404" spans="1:6">
      <c r="A404" s="87">
        <v>2462</v>
      </c>
      <c r="E404"/>
      <c r="F404"/>
    </row>
    <row r="405" spans="1:6">
      <c r="A405" s="87">
        <v>2464</v>
      </c>
      <c r="E405"/>
      <c r="F405"/>
    </row>
    <row r="406" spans="1:6">
      <c r="A406" s="87">
        <v>2465</v>
      </c>
      <c r="E406"/>
      <c r="F406"/>
    </row>
    <row r="407" spans="1:6">
      <c r="A407" s="87">
        <v>2466</v>
      </c>
      <c r="E407"/>
      <c r="F407"/>
    </row>
    <row r="408" spans="1:6">
      <c r="A408" s="87">
        <v>2467</v>
      </c>
      <c r="E408"/>
      <c r="F408"/>
    </row>
    <row r="409" spans="1:6">
      <c r="A409" s="87">
        <v>2468</v>
      </c>
      <c r="E409"/>
      <c r="F409"/>
    </row>
    <row r="410" spans="1:6">
      <c r="A410" s="87">
        <v>2471</v>
      </c>
      <c r="E410"/>
      <c r="F410"/>
    </row>
    <row r="411" spans="1:6">
      <c r="A411" s="87">
        <v>2472</v>
      </c>
      <c r="E411"/>
      <c r="F411"/>
    </row>
    <row r="412" spans="1:6">
      <c r="A412" s="87">
        <v>2474</v>
      </c>
      <c r="E412"/>
      <c r="F412"/>
    </row>
    <row r="413" spans="1:6">
      <c r="A413" s="87">
        <v>2475</v>
      </c>
      <c r="E413"/>
      <c r="F413"/>
    </row>
    <row r="414" spans="1:6">
      <c r="A414" s="87">
        <v>2476</v>
      </c>
      <c r="E414"/>
      <c r="F414"/>
    </row>
    <row r="415" spans="1:6">
      <c r="A415" s="87">
        <v>2477</v>
      </c>
      <c r="E415"/>
      <c r="F415"/>
    </row>
    <row r="416" spans="1:6">
      <c r="A416" s="87">
        <v>2478</v>
      </c>
      <c r="E416"/>
      <c r="F416"/>
    </row>
    <row r="417" spans="1:6">
      <c r="A417" s="87">
        <v>2480</v>
      </c>
      <c r="E417"/>
      <c r="F417"/>
    </row>
    <row r="418" spans="1:6">
      <c r="A418" s="87">
        <v>2481</v>
      </c>
      <c r="E418"/>
      <c r="F418"/>
    </row>
    <row r="419" spans="1:6">
      <c r="A419" s="87">
        <v>2482</v>
      </c>
      <c r="E419"/>
      <c r="F419"/>
    </row>
    <row r="420" spans="1:6">
      <c r="A420" s="87">
        <v>2483</v>
      </c>
      <c r="E420"/>
      <c r="F420"/>
    </row>
    <row r="421" spans="1:6">
      <c r="A421" s="87">
        <v>2484</v>
      </c>
      <c r="E421"/>
      <c r="F421"/>
    </row>
    <row r="422" spans="1:6">
      <c r="A422" s="87">
        <v>2485</v>
      </c>
      <c r="E422"/>
      <c r="F422"/>
    </row>
    <row r="423" spans="1:6">
      <c r="A423" s="87">
        <v>2486</v>
      </c>
      <c r="E423"/>
      <c r="F423"/>
    </row>
    <row r="424" spans="1:6">
      <c r="A424" s="87">
        <v>2488</v>
      </c>
      <c r="E424"/>
      <c r="F424"/>
    </row>
    <row r="425" spans="1:6">
      <c r="A425" s="87">
        <v>2489</v>
      </c>
      <c r="E425"/>
      <c r="F425"/>
    </row>
    <row r="426" spans="1:6">
      <c r="A426" s="87">
        <v>2491</v>
      </c>
      <c r="E426"/>
      <c r="F426"/>
    </row>
    <row r="427" spans="1:6">
      <c r="A427" s="87">
        <v>2492</v>
      </c>
      <c r="E427"/>
      <c r="F427"/>
    </row>
    <row r="428" spans="1:6">
      <c r="A428" s="87">
        <v>2493</v>
      </c>
      <c r="E428"/>
      <c r="F428"/>
    </row>
    <row r="429" spans="1:6">
      <c r="A429" s="87">
        <v>2495</v>
      </c>
      <c r="E429"/>
      <c r="F429"/>
    </row>
    <row r="430" spans="1:6">
      <c r="A430" s="87">
        <v>2496</v>
      </c>
      <c r="E430"/>
      <c r="F430"/>
    </row>
    <row r="431" spans="1:6">
      <c r="A431" s="87">
        <v>2497</v>
      </c>
      <c r="E431"/>
      <c r="F431"/>
    </row>
    <row r="432" spans="1:6">
      <c r="A432" s="87">
        <v>2498</v>
      </c>
      <c r="E432"/>
      <c r="F432"/>
    </row>
    <row r="433" spans="1:6">
      <c r="A433" s="87">
        <v>2499</v>
      </c>
      <c r="E433"/>
      <c r="F433"/>
    </row>
    <row r="434" spans="1:6">
      <c r="A434" s="87">
        <v>2501</v>
      </c>
      <c r="E434"/>
      <c r="F434"/>
    </row>
    <row r="435" spans="1:6">
      <c r="A435" s="87">
        <v>2504</v>
      </c>
      <c r="E435"/>
      <c r="F435"/>
    </row>
    <row r="436" spans="1:6">
      <c r="A436" s="87">
        <v>2505</v>
      </c>
      <c r="E436"/>
      <c r="F436"/>
    </row>
    <row r="437" spans="1:6">
      <c r="A437" s="87">
        <v>2506</v>
      </c>
      <c r="E437"/>
      <c r="F437"/>
    </row>
    <row r="438" spans="1:6">
      <c r="A438" s="87">
        <v>2509</v>
      </c>
      <c r="E438"/>
      <c r="F438"/>
    </row>
    <row r="439" spans="1:6">
      <c r="A439" s="87">
        <v>2511</v>
      </c>
      <c r="E439"/>
      <c r="F439"/>
    </row>
    <row r="440" spans="1:6">
      <c r="A440" s="87">
        <v>2514</v>
      </c>
      <c r="E440"/>
      <c r="F440"/>
    </row>
    <row r="441" spans="1:6">
      <c r="A441" s="87">
        <v>2515</v>
      </c>
      <c r="E441"/>
      <c r="F441"/>
    </row>
    <row r="442" spans="1:6">
      <c r="A442" s="87">
        <v>2516</v>
      </c>
      <c r="E442"/>
      <c r="F442"/>
    </row>
    <row r="443" spans="1:6">
      <c r="A443" s="87">
        <v>2520</v>
      </c>
      <c r="E443"/>
      <c r="F443"/>
    </row>
    <row r="444" spans="1:6">
      <c r="A444" s="87">
        <v>2524</v>
      </c>
      <c r="E444"/>
      <c r="F444"/>
    </row>
    <row r="445" spans="1:6">
      <c r="A445" s="87">
        <v>2527</v>
      </c>
      <c r="E445"/>
      <c r="F445"/>
    </row>
    <row r="446" spans="1:6">
      <c r="A446" s="87">
        <v>2528</v>
      </c>
      <c r="E446"/>
      <c r="F446"/>
    </row>
    <row r="447" spans="1:6">
      <c r="A447" s="87">
        <v>2530</v>
      </c>
      <c r="E447"/>
      <c r="F447"/>
    </row>
    <row r="448" spans="1:6">
      <c r="A448" s="87">
        <v>2534</v>
      </c>
      <c r="E448"/>
      <c r="F448"/>
    </row>
    <row r="449" spans="1:6">
      <c r="A449" s="87">
        <v>2535</v>
      </c>
      <c r="E449"/>
      <c r="F449"/>
    </row>
    <row r="450" spans="1:6">
      <c r="A450" s="87">
        <v>2536</v>
      </c>
      <c r="E450"/>
      <c r="F450"/>
    </row>
    <row r="451" spans="1:6">
      <c r="A451" s="87">
        <v>2537</v>
      </c>
      <c r="E451"/>
      <c r="F451"/>
    </row>
    <row r="452" spans="1:6">
      <c r="A452" s="87">
        <v>2538</v>
      </c>
      <c r="E452"/>
      <c r="F452"/>
    </row>
    <row r="453" spans="1:6">
      <c r="A453" s="87">
        <v>2539</v>
      </c>
      <c r="E453"/>
      <c r="F453"/>
    </row>
    <row r="454" spans="1:6">
      <c r="A454" s="87">
        <v>2540</v>
      </c>
      <c r="E454"/>
      <c r="F454"/>
    </row>
    <row r="455" spans="1:6">
      <c r="A455" s="87">
        <v>2542</v>
      </c>
      <c r="E455"/>
      <c r="F455"/>
    </row>
    <row r="456" spans="1:6">
      <c r="A456" s="87">
        <v>2543</v>
      </c>
      <c r="E456"/>
      <c r="F456"/>
    </row>
    <row r="457" spans="1:6">
      <c r="A457" s="87">
        <v>2545</v>
      </c>
      <c r="E457"/>
      <c r="F457"/>
    </row>
    <row r="458" spans="1:6">
      <c r="A458" s="87">
        <v>2546</v>
      </c>
      <c r="E458"/>
      <c r="F458"/>
    </row>
    <row r="459" spans="1:6">
      <c r="A459" s="87">
        <v>2547</v>
      </c>
      <c r="E459"/>
      <c r="F459"/>
    </row>
    <row r="460" spans="1:6">
      <c r="A460" s="87">
        <v>2548</v>
      </c>
      <c r="E460"/>
      <c r="F460"/>
    </row>
    <row r="461" spans="1:6">
      <c r="A461" s="87">
        <v>2596</v>
      </c>
      <c r="E461"/>
      <c r="F461"/>
    </row>
    <row r="462" spans="1:6">
      <c r="A462" s="87">
        <v>2597</v>
      </c>
      <c r="E462"/>
      <c r="F462"/>
    </row>
    <row r="463" spans="1:6">
      <c r="A463" s="87">
        <v>2601</v>
      </c>
      <c r="E463"/>
      <c r="F463"/>
    </row>
    <row r="464" spans="1:6">
      <c r="A464" s="87">
        <v>2603</v>
      </c>
      <c r="E464"/>
      <c r="F464"/>
    </row>
    <row r="465" spans="1:6">
      <c r="A465" s="87">
        <v>2605</v>
      </c>
      <c r="E465"/>
      <c r="F465"/>
    </row>
    <row r="466" spans="1:6">
      <c r="A466" s="87">
        <v>2606</v>
      </c>
      <c r="E466"/>
      <c r="F466"/>
    </row>
    <row r="467" spans="1:6">
      <c r="A467" s="87">
        <v>2607</v>
      </c>
      <c r="E467"/>
      <c r="F467"/>
    </row>
    <row r="468" spans="1:6">
      <c r="A468" s="87">
        <v>2608</v>
      </c>
      <c r="E468"/>
      <c r="F468"/>
    </row>
    <row r="469" spans="1:6">
      <c r="A469" s="87">
        <v>2609</v>
      </c>
      <c r="E469"/>
      <c r="F469"/>
    </row>
    <row r="470" spans="1:6">
      <c r="A470" s="87">
        <v>2610</v>
      </c>
      <c r="E470"/>
      <c r="F470"/>
    </row>
    <row r="471" spans="1:6">
      <c r="A471" s="87">
        <v>2611</v>
      </c>
      <c r="E471"/>
      <c r="F471"/>
    </row>
    <row r="472" spans="1:6">
      <c r="A472" s="87">
        <v>2612</v>
      </c>
      <c r="E472"/>
      <c r="F472"/>
    </row>
    <row r="473" spans="1:6">
      <c r="A473" s="87">
        <v>2613</v>
      </c>
      <c r="E473"/>
      <c r="F473"/>
    </row>
    <row r="474" spans="1:6">
      <c r="A474" s="87">
        <v>2614</v>
      </c>
      <c r="E474"/>
      <c r="F474"/>
    </row>
    <row r="475" spans="1:6">
      <c r="A475" s="87">
        <v>2615</v>
      </c>
      <c r="E475"/>
      <c r="F475"/>
    </row>
    <row r="476" spans="1:6">
      <c r="A476" s="87">
        <v>2616</v>
      </c>
      <c r="E476"/>
      <c r="F476"/>
    </row>
    <row r="477" spans="1:6">
      <c r="A477" s="87">
        <v>2617</v>
      </c>
      <c r="E477"/>
      <c r="F477"/>
    </row>
    <row r="478" spans="1:6">
      <c r="A478" s="87">
        <v>2618</v>
      </c>
      <c r="E478"/>
      <c r="F478"/>
    </row>
    <row r="479" spans="1:6">
      <c r="A479" s="87">
        <v>2634</v>
      </c>
      <c r="E479"/>
      <c r="F479"/>
    </row>
    <row r="480" spans="1:6">
      <c r="A480" s="87">
        <v>2636</v>
      </c>
      <c r="E480"/>
      <c r="F480"/>
    </row>
    <row r="481" spans="1:6">
      <c r="A481" s="87">
        <v>2637</v>
      </c>
      <c r="E481"/>
      <c r="F481"/>
    </row>
    <row r="482" spans="1:6">
      <c r="A482" s="87">
        <v>2640</v>
      </c>
      <c r="E482"/>
      <c r="F482"/>
    </row>
    <row r="483" spans="1:6">
      <c r="A483" s="87">
        <v>2641</v>
      </c>
      <c r="E483"/>
      <c r="F483"/>
    </row>
    <row r="484" spans="1:6">
      <c r="A484" s="87">
        <v>2642</v>
      </c>
      <c r="E484"/>
      <c r="F484"/>
    </row>
    <row r="485" spans="1:6">
      <c r="A485" s="87">
        <v>2701</v>
      </c>
      <c r="E485"/>
      <c r="F485"/>
    </row>
    <row r="486" spans="1:6">
      <c r="A486" s="87">
        <v>2702</v>
      </c>
      <c r="E486"/>
      <c r="F486"/>
    </row>
    <row r="487" spans="1:6">
      <c r="A487" s="87">
        <v>2704</v>
      </c>
      <c r="E487"/>
      <c r="F487"/>
    </row>
    <row r="488" spans="1:6">
      <c r="A488" s="87">
        <v>2705</v>
      </c>
      <c r="E488"/>
      <c r="F488"/>
    </row>
    <row r="489" spans="1:6">
      <c r="A489" s="87">
        <v>2706</v>
      </c>
      <c r="E489"/>
      <c r="F489"/>
    </row>
    <row r="490" spans="1:6">
      <c r="A490" s="87">
        <v>2707</v>
      </c>
      <c r="E490"/>
      <c r="F490"/>
    </row>
    <row r="491" spans="1:6">
      <c r="A491" s="87">
        <v>2712</v>
      </c>
      <c r="E491"/>
      <c r="F491"/>
    </row>
    <row r="492" spans="1:6">
      <c r="A492" s="87">
        <v>2718</v>
      </c>
      <c r="E492"/>
      <c r="F492"/>
    </row>
    <row r="493" spans="1:6">
      <c r="A493" s="87">
        <v>2719</v>
      </c>
      <c r="E493"/>
      <c r="F493"/>
    </row>
    <row r="494" spans="1:6">
      <c r="A494" s="87">
        <v>2722</v>
      </c>
      <c r="E494"/>
      <c r="F494"/>
    </row>
    <row r="495" spans="1:6">
      <c r="A495" s="87">
        <v>2723</v>
      </c>
      <c r="E495"/>
      <c r="F495"/>
    </row>
    <row r="496" spans="1:6">
      <c r="A496" s="87">
        <v>2724</v>
      </c>
      <c r="E496"/>
      <c r="F496"/>
    </row>
    <row r="497" spans="1:6">
      <c r="A497" s="87">
        <v>2726</v>
      </c>
      <c r="E497"/>
      <c r="F497"/>
    </row>
    <row r="498" spans="1:6">
      <c r="A498" s="87">
        <v>2727</v>
      </c>
      <c r="E498"/>
      <c r="F498"/>
    </row>
    <row r="499" spans="1:6">
      <c r="A499" s="87">
        <v>2729</v>
      </c>
      <c r="E499"/>
      <c r="F499"/>
    </row>
    <row r="500" spans="1:6">
      <c r="A500" s="87">
        <v>2731</v>
      </c>
      <c r="E500"/>
      <c r="F500"/>
    </row>
    <row r="501" spans="1:6">
      <c r="A501" s="87">
        <v>2732</v>
      </c>
      <c r="E501"/>
      <c r="F501"/>
    </row>
    <row r="502" spans="1:6">
      <c r="A502" s="87">
        <v>2734</v>
      </c>
      <c r="E502"/>
      <c r="F502"/>
    </row>
    <row r="503" spans="1:6">
      <c r="A503" s="87">
        <v>2801</v>
      </c>
      <c r="E503"/>
      <c r="F503"/>
    </row>
    <row r="504" spans="1:6">
      <c r="A504" s="87">
        <v>2809</v>
      </c>
      <c r="E504"/>
      <c r="F504"/>
    </row>
    <row r="505" spans="1:6">
      <c r="A505" s="87">
        <v>2812</v>
      </c>
      <c r="E505"/>
      <c r="F505"/>
    </row>
    <row r="506" spans="1:6">
      <c r="A506" s="87">
        <v>2816</v>
      </c>
      <c r="E506"/>
      <c r="F506"/>
    </row>
    <row r="507" spans="1:6">
      <c r="A507" s="87">
        <v>2820</v>
      </c>
      <c r="E507"/>
      <c r="F507"/>
    </row>
    <row r="508" spans="1:6">
      <c r="A508" s="87">
        <v>2823</v>
      </c>
      <c r="E508"/>
      <c r="F508"/>
    </row>
    <row r="509" spans="1:6">
      <c r="A509" s="87">
        <v>2832</v>
      </c>
      <c r="E509"/>
      <c r="F509"/>
    </row>
    <row r="510" spans="1:6">
      <c r="A510" s="87">
        <v>2833</v>
      </c>
      <c r="E510"/>
      <c r="F510"/>
    </row>
    <row r="511" spans="1:6">
      <c r="A511" s="87">
        <v>2834</v>
      </c>
      <c r="E511"/>
      <c r="F511"/>
    </row>
    <row r="512" spans="1:6">
      <c r="A512" s="87">
        <v>2836</v>
      </c>
      <c r="E512"/>
      <c r="F512"/>
    </row>
    <row r="513" spans="1:6">
      <c r="A513" s="87">
        <v>2838</v>
      </c>
      <c r="E513"/>
      <c r="F513"/>
    </row>
    <row r="514" spans="1:6">
      <c r="A514" s="87">
        <v>2841</v>
      </c>
      <c r="E514"/>
      <c r="F514"/>
    </row>
    <row r="515" spans="1:6">
      <c r="A515" s="87">
        <v>2845</v>
      </c>
      <c r="E515"/>
      <c r="F515"/>
    </row>
    <row r="516" spans="1:6">
      <c r="A516" s="87">
        <v>2847</v>
      </c>
      <c r="E516"/>
      <c r="F516"/>
    </row>
    <row r="517" spans="1:6">
      <c r="A517" s="87">
        <v>2849</v>
      </c>
      <c r="E517"/>
      <c r="F517"/>
    </row>
    <row r="518" spans="1:6">
      <c r="A518" s="87">
        <v>2850</v>
      </c>
      <c r="E518"/>
      <c r="F518"/>
    </row>
    <row r="519" spans="1:6">
      <c r="A519" s="87">
        <v>2851</v>
      </c>
      <c r="E519"/>
      <c r="F519"/>
    </row>
    <row r="520" spans="1:6">
      <c r="A520" s="87">
        <v>2852</v>
      </c>
      <c r="E520"/>
      <c r="F520"/>
    </row>
    <row r="521" spans="1:6">
      <c r="A521" s="87">
        <v>2855</v>
      </c>
      <c r="E521"/>
      <c r="F521"/>
    </row>
    <row r="522" spans="1:6">
      <c r="A522" s="87">
        <v>2856</v>
      </c>
      <c r="E522"/>
      <c r="F522"/>
    </row>
    <row r="523" spans="1:6">
      <c r="A523" s="87">
        <v>2867</v>
      </c>
      <c r="E523"/>
      <c r="F523"/>
    </row>
    <row r="524" spans="1:6">
      <c r="A524" s="87">
        <v>2880</v>
      </c>
      <c r="E524"/>
      <c r="F524"/>
    </row>
    <row r="525" spans="1:6">
      <c r="A525" s="87">
        <v>2881</v>
      </c>
      <c r="E525"/>
      <c r="F525"/>
    </row>
    <row r="526" spans="1:6">
      <c r="A526" s="87">
        <v>2882</v>
      </c>
      <c r="E526"/>
      <c r="F526"/>
    </row>
    <row r="527" spans="1:6">
      <c r="A527" s="87">
        <v>2883</v>
      </c>
      <c r="E527"/>
      <c r="F527"/>
    </row>
    <row r="528" spans="1:6">
      <c r="A528" s="87">
        <v>2884</v>
      </c>
      <c r="E528"/>
      <c r="F528"/>
    </row>
    <row r="529" spans="1:6">
      <c r="A529" s="87">
        <v>2885</v>
      </c>
      <c r="E529"/>
      <c r="F529"/>
    </row>
    <row r="530" spans="1:6">
      <c r="A530" s="87">
        <v>2886</v>
      </c>
      <c r="E530"/>
      <c r="F530"/>
    </row>
    <row r="531" spans="1:6">
      <c r="A531" s="87">
        <v>2887</v>
      </c>
      <c r="E531"/>
      <c r="F531"/>
    </row>
    <row r="532" spans="1:6">
      <c r="A532" s="87">
        <v>2888</v>
      </c>
      <c r="E532"/>
      <c r="F532"/>
    </row>
    <row r="533" spans="1:6">
      <c r="A533" s="87">
        <v>2889</v>
      </c>
      <c r="E533"/>
      <c r="F533"/>
    </row>
    <row r="534" spans="1:6">
      <c r="A534" s="87">
        <v>2890</v>
      </c>
      <c r="E534"/>
      <c r="F534"/>
    </row>
    <row r="535" spans="1:6">
      <c r="A535" s="87">
        <v>2891</v>
      </c>
      <c r="E535"/>
      <c r="F535"/>
    </row>
    <row r="536" spans="1:6">
      <c r="A536" s="87">
        <v>2892</v>
      </c>
      <c r="E536"/>
      <c r="F536"/>
    </row>
    <row r="537" spans="1:6">
      <c r="A537" s="87">
        <v>2901</v>
      </c>
      <c r="E537"/>
      <c r="F537"/>
    </row>
    <row r="538" spans="1:6">
      <c r="A538" s="87">
        <v>2903</v>
      </c>
      <c r="E538"/>
      <c r="F538"/>
    </row>
    <row r="539" spans="1:6">
      <c r="A539" s="87">
        <v>2904</v>
      </c>
      <c r="E539"/>
      <c r="F539"/>
    </row>
    <row r="540" spans="1:6">
      <c r="A540" s="87">
        <v>2905</v>
      </c>
      <c r="E540"/>
      <c r="F540"/>
    </row>
    <row r="541" spans="1:6">
      <c r="A541" s="87">
        <v>2906</v>
      </c>
      <c r="E541"/>
      <c r="F541"/>
    </row>
    <row r="542" spans="1:6">
      <c r="A542" s="87">
        <v>2908</v>
      </c>
      <c r="E542"/>
      <c r="F542"/>
    </row>
    <row r="543" spans="1:6">
      <c r="A543" s="87">
        <v>2910</v>
      </c>
      <c r="E543"/>
      <c r="F543"/>
    </row>
    <row r="544" spans="1:6">
      <c r="A544" s="87">
        <v>2911</v>
      </c>
      <c r="E544"/>
      <c r="F544"/>
    </row>
    <row r="545" spans="1:6">
      <c r="A545" s="87">
        <v>2912</v>
      </c>
      <c r="E545"/>
      <c r="F545"/>
    </row>
    <row r="546" spans="1:6">
      <c r="A546" s="87">
        <v>2913</v>
      </c>
      <c r="E546"/>
      <c r="F546"/>
    </row>
    <row r="547" spans="1:6">
      <c r="A547" s="87">
        <v>2915</v>
      </c>
      <c r="E547"/>
      <c r="F547"/>
    </row>
    <row r="548" spans="1:6">
      <c r="A548" s="87">
        <v>2916</v>
      </c>
      <c r="E548"/>
      <c r="F548"/>
    </row>
    <row r="549" spans="1:6">
      <c r="A549" s="87">
        <v>2923</v>
      </c>
      <c r="E549"/>
      <c r="F549"/>
    </row>
    <row r="550" spans="1:6">
      <c r="A550" s="87">
        <v>2924</v>
      </c>
      <c r="E550"/>
      <c r="F550"/>
    </row>
    <row r="551" spans="1:6">
      <c r="A551" s="87">
        <v>2926</v>
      </c>
      <c r="E551"/>
      <c r="F551"/>
    </row>
    <row r="552" spans="1:6">
      <c r="A552" s="87">
        <v>2929</v>
      </c>
      <c r="E552"/>
      <c r="F552"/>
    </row>
    <row r="553" spans="1:6">
      <c r="A553" s="87">
        <v>3002</v>
      </c>
      <c r="E553"/>
      <c r="F553"/>
    </row>
    <row r="554" spans="1:6">
      <c r="A554" s="87">
        <v>3003</v>
      </c>
      <c r="E554"/>
      <c r="F554"/>
    </row>
    <row r="555" spans="1:6">
      <c r="A555" s="87">
        <v>3004</v>
      </c>
      <c r="E555"/>
      <c r="F555"/>
    </row>
    <row r="556" spans="1:6">
      <c r="A556" s="87">
        <v>3005</v>
      </c>
      <c r="E556"/>
      <c r="F556"/>
    </row>
    <row r="557" spans="1:6">
      <c r="A557" s="87">
        <v>3006</v>
      </c>
      <c r="E557"/>
      <c r="F557"/>
    </row>
    <row r="558" spans="1:6">
      <c r="A558" s="87">
        <v>3008</v>
      </c>
      <c r="E558"/>
      <c r="F558"/>
    </row>
    <row r="559" spans="1:6">
      <c r="A559" s="87">
        <v>3010</v>
      </c>
      <c r="E559"/>
      <c r="F559"/>
    </row>
    <row r="560" spans="1:6">
      <c r="A560" s="87">
        <v>3011</v>
      </c>
      <c r="E560"/>
      <c r="F560"/>
    </row>
    <row r="561" spans="1:6">
      <c r="A561" s="87">
        <v>3013</v>
      </c>
      <c r="E561"/>
      <c r="F561"/>
    </row>
    <row r="562" spans="1:6">
      <c r="A562" s="87">
        <v>3014</v>
      </c>
      <c r="E562"/>
      <c r="F562"/>
    </row>
    <row r="563" spans="1:6">
      <c r="A563" s="87">
        <v>3015</v>
      </c>
      <c r="E563"/>
      <c r="F563"/>
    </row>
    <row r="564" spans="1:6">
      <c r="A564" s="87">
        <v>3016</v>
      </c>
      <c r="E564"/>
      <c r="F564"/>
    </row>
    <row r="565" spans="1:6">
      <c r="A565" s="87">
        <v>3017</v>
      </c>
      <c r="E565"/>
      <c r="F565"/>
    </row>
    <row r="566" spans="1:6">
      <c r="A566" s="87">
        <v>3018</v>
      </c>
      <c r="E566"/>
      <c r="F566"/>
    </row>
    <row r="567" spans="1:6">
      <c r="A567" s="87">
        <v>3019</v>
      </c>
      <c r="E567"/>
      <c r="F567"/>
    </row>
    <row r="568" spans="1:6">
      <c r="A568" s="87">
        <v>3021</v>
      </c>
      <c r="E568"/>
      <c r="F568"/>
    </row>
    <row r="569" spans="1:6">
      <c r="A569" s="87">
        <v>3022</v>
      </c>
      <c r="E569"/>
      <c r="F569"/>
    </row>
    <row r="570" spans="1:6">
      <c r="A570" s="87">
        <v>3023</v>
      </c>
      <c r="E570"/>
      <c r="F570"/>
    </row>
    <row r="571" spans="1:6">
      <c r="A571" s="87">
        <v>3024</v>
      </c>
      <c r="E571"/>
      <c r="F571"/>
    </row>
    <row r="572" spans="1:6">
      <c r="A572" s="87">
        <v>3025</v>
      </c>
      <c r="E572"/>
      <c r="F572"/>
    </row>
    <row r="573" spans="1:6">
      <c r="A573" s="87">
        <v>3026</v>
      </c>
      <c r="E573"/>
      <c r="F573"/>
    </row>
    <row r="574" spans="1:6">
      <c r="A574" s="87">
        <v>3027</v>
      </c>
      <c r="E574"/>
      <c r="F574"/>
    </row>
    <row r="575" spans="1:6">
      <c r="A575" s="87">
        <v>3028</v>
      </c>
      <c r="E575"/>
      <c r="F575"/>
    </row>
    <row r="576" spans="1:6">
      <c r="A576" s="87">
        <v>3029</v>
      </c>
      <c r="E576"/>
      <c r="F576"/>
    </row>
    <row r="577" spans="1:6">
      <c r="A577" s="87">
        <v>3030</v>
      </c>
      <c r="E577"/>
      <c r="F577"/>
    </row>
    <row r="578" spans="1:6">
      <c r="A578" s="87">
        <v>3031</v>
      </c>
      <c r="E578"/>
      <c r="F578"/>
    </row>
    <row r="579" spans="1:6">
      <c r="A579" s="87">
        <v>3032</v>
      </c>
      <c r="E579"/>
      <c r="F579"/>
    </row>
    <row r="580" spans="1:6">
      <c r="A580" s="87">
        <v>3033</v>
      </c>
      <c r="E580"/>
      <c r="F580"/>
    </row>
    <row r="581" spans="1:6">
      <c r="A581" s="87">
        <v>3034</v>
      </c>
      <c r="E581"/>
      <c r="F581"/>
    </row>
    <row r="582" spans="1:6">
      <c r="A582" s="87">
        <v>3035</v>
      </c>
      <c r="E582"/>
      <c r="F582"/>
    </row>
    <row r="583" spans="1:6">
      <c r="A583" s="87">
        <v>3036</v>
      </c>
      <c r="E583"/>
      <c r="F583"/>
    </row>
    <row r="584" spans="1:6">
      <c r="A584" s="87">
        <v>3037</v>
      </c>
      <c r="E584"/>
      <c r="F584"/>
    </row>
    <row r="585" spans="1:6">
      <c r="A585" s="87">
        <v>3038</v>
      </c>
      <c r="E585"/>
      <c r="F585"/>
    </row>
    <row r="586" spans="1:6">
      <c r="A586" s="87">
        <v>3040</v>
      </c>
      <c r="E586"/>
      <c r="F586"/>
    </row>
    <row r="587" spans="1:6">
      <c r="A587" s="87">
        <v>3041</v>
      </c>
      <c r="E587"/>
      <c r="F587"/>
    </row>
    <row r="588" spans="1:6">
      <c r="A588" s="87">
        <v>3042</v>
      </c>
      <c r="E588"/>
      <c r="F588"/>
    </row>
    <row r="589" spans="1:6">
      <c r="A589" s="87">
        <v>3043</v>
      </c>
      <c r="E589"/>
      <c r="F589"/>
    </row>
    <row r="590" spans="1:6">
      <c r="A590" s="87">
        <v>3044</v>
      </c>
      <c r="E590"/>
      <c r="F590"/>
    </row>
    <row r="591" spans="1:6">
      <c r="A591" s="87">
        <v>3045</v>
      </c>
      <c r="E591"/>
      <c r="F591"/>
    </row>
    <row r="592" spans="1:6">
      <c r="A592" s="87">
        <v>3046</v>
      </c>
      <c r="E592"/>
      <c r="F592"/>
    </row>
    <row r="593" spans="1:6">
      <c r="A593" s="87">
        <v>3047</v>
      </c>
      <c r="E593"/>
      <c r="F593"/>
    </row>
    <row r="594" spans="1:6">
      <c r="A594" s="87">
        <v>3048</v>
      </c>
      <c r="E594"/>
      <c r="F594"/>
    </row>
    <row r="595" spans="1:6">
      <c r="A595" s="87">
        <v>3049</v>
      </c>
      <c r="E595"/>
      <c r="F595"/>
    </row>
    <row r="596" spans="1:6">
      <c r="A596" s="87">
        <v>3050</v>
      </c>
      <c r="E596"/>
      <c r="F596"/>
    </row>
    <row r="597" spans="1:6">
      <c r="A597" s="87">
        <v>3051</v>
      </c>
      <c r="E597"/>
      <c r="F597"/>
    </row>
    <row r="598" spans="1:6">
      <c r="A598" s="87">
        <v>3052</v>
      </c>
      <c r="E598"/>
      <c r="F598"/>
    </row>
    <row r="599" spans="1:6">
      <c r="A599" s="87">
        <v>3054</v>
      </c>
      <c r="E599"/>
      <c r="F599"/>
    </row>
    <row r="600" spans="1:6">
      <c r="A600" s="87">
        <v>3055</v>
      </c>
      <c r="E600"/>
      <c r="F600"/>
    </row>
    <row r="601" spans="1:6">
      <c r="A601" s="87">
        <v>3056</v>
      </c>
      <c r="E601"/>
      <c r="F601"/>
    </row>
    <row r="602" spans="1:6">
      <c r="A602" s="87">
        <v>3057</v>
      </c>
      <c r="E602"/>
      <c r="F602"/>
    </row>
    <row r="603" spans="1:6">
      <c r="A603" s="87">
        <v>3058</v>
      </c>
      <c r="E603"/>
      <c r="F603"/>
    </row>
    <row r="604" spans="1:6">
      <c r="A604" s="87">
        <v>3059</v>
      </c>
      <c r="E604"/>
      <c r="F604"/>
    </row>
    <row r="605" spans="1:6">
      <c r="A605" s="87">
        <v>3060</v>
      </c>
      <c r="E605"/>
      <c r="F605"/>
    </row>
    <row r="606" spans="1:6">
      <c r="A606" s="87">
        <v>3062</v>
      </c>
      <c r="E606"/>
      <c r="F606"/>
    </row>
    <row r="607" spans="1:6">
      <c r="A607" s="87">
        <v>3064</v>
      </c>
      <c r="E607"/>
      <c r="F607"/>
    </row>
    <row r="608" spans="1:6">
      <c r="A608" s="87">
        <v>3066</v>
      </c>
      <c r="E608"/>
      <c r="F608"/>
    </row>
    <row r="609" spans="1:6">
      <c r="A609" s="87">
        <v>3067</v>
      </c>
      <c r="E609"/>
      <c r="F609"/>
    </row>
    <row r="610" spans="1:6">
      <c r="A610" s="87">
        <v>3068</v>
      </c>
      <c r="E610"/>
      <c r="F610"/>
    </row>
    <row r="611" spans="1:6">
      <c r="A611" s="87">
        <v>3071</v>
      </c>
      <c r="E611"/>
      <c r="F611"/>
    </row>
    <row r="612" spans="1:6">
      <c r="A612" s="87">
        <v>3073</v>
      </c>
      <c r="E612"/>
      <c r="F612"/>
    </row>
    <row r="613" spans="1:6">
      <c r="A613" s="87">
        <v>3078</v>
      </c>
      <c r="E613"/>
      <c r="F613"/>
    </row>
    <row r="614" spans="1:6">
      <c r="A614" s="87">
        <v>3083</v>
      </c>
      <c r="E614"/>
      <c r="F614"/>
    </row>
    <row r="615" spans="1:6">
      <c r="A615" s="87">
        <v>3085</v>
      </c>
      <c r="E615"/>
      <c r="F615"/>
    </row>
    <row r="616" spans="1:6">
      <c r="A616" s="87">
        <v>3086</v>
      </c>
      <c r="E616"/>
      <c r="F616"/>
    </row>
    <row r="617" spans="1:6">
      <c r="A617" s="87">
        <v>3088</v>
      </c>
      <c r="E617"/>
      <c r="F617"/>
    </row>
    <row r="618" spans="1:6">
      <c r="A618" s="87">
        <v>3089</v>
      </c>
      <c r="E618"/>
      <c r="F618"/>
    </row>
    <row r="619" spans="1:6">
      <c r="A619" s="87">
        <v>3090</v>
      </c>
      <c r="E619"/>
      <c r="F619"/>
    </row>
    <row r="620" spans="1:6">
      <c r="A620" s="87">
        <v>3092</v>
      </c>
      <c r="E620"/>
      <c r="F620"/>
    </row>
    <row r="621" spans="1:6">
      <c r="A621" s="87">
        <v>3093</v>
      </c>
      <c r="E621"/>
      <c r="F621"/>
    </row>
    <row r="622" spans="1:6">
      <c r="A622" s="87">
        <v>3094</v>
      </c>
      <c r="E622"/>
      <c r="F622"/>
    </row>
    <row r="623" spans="1:6">
      <c r="A623" s="87">
        <v>3095</v>
      </c>
      <c r="E623"/>
      <c r="F623"/>
    </row>
    <row r="624" spans="1:6">
      <c r="A624" s="87">
        <v>3105</v>
      </c>
      <c r="E624"/>
      <c r="F624"/>
    </row>
    <row r="625" spans="1:6">
      <c r="A625" s="87">
        <v>3114</v>
      </c>
      <c r="E625"/>
      <c r="F625"/>
    </row>
    <row r="626" spans="1:6">
      <c r="A626" s="87">
        <v>3115</v>
      </c>
      <c r="E626"/>
      <c r="F626"/>
    </row>
    <row r="627" spans="1:6">
      <c r="A627" s="87">
        <v>3118</v>
      </c>
      <c r="E627"/>
      <c r="F627"/>
    </row>
    <row r="628" spans="1:6">
      <c r="A628" s="87">
        <v>3122</v>
      </c>
      <c r="E628"/>
      <c r="F628"/>
    </row>
    <row r="629" spans="1:6">
      <c r="A629" s="87">
        <v>3128</v>
      </c>
      <c r="E629"/>
      <c r="F629"/>
    </row>
    <row r="630" spans="1:6">
      <c r="A630" s="87">
        <v>3130</v>
      </c>
      <c r="E630"/>
      <c r="F630"/>
    </row>
    <row r="631" spans="1:6">
      <c r="A631" s="87">
        <v>3131</v>
      </c>
      <c r="E631"/>
      <c r="F631"/>
    </row>
    <row r="632" spans="1:6">
      <c r="A632" s="87">
        <v>3141</v>
      </c>
      <c r="E632"/>
      <c r="F632"/>
    </row>
    <row r="633" spans="1:6">
      <c r="A633" s="87">
        <v>3144</v>
      </c>
      <c r="E633"/>
      <c r="F633"/>
    </row>
    <row r="634" spans="1:6">
      <c r="A634" s="87">
        <v>3149</v>
      </c>
      <c r="E634"/>
      <c r="F634"/>
    </row>
    <row r="635" spans="1:6">
      <c r="A635" s="87">
        <v>3152</v>
      </c>
      <c r="E635"/>
      <c r="F635"/>
    </row>
    <row r="636" spans="1:6">
      <c r="A636" s="87">
        <v>3162</v>
      </c>
      <c r="E636"/>
      <c r="F636"/>
    </row>
    <row r="637" spans="1:6">
      <c r="A637" s="87">
        <v>3163</v>
      </c>
      <c r="E637"/>
      <c r="F637"/>
    </row>
    <row r="638" spans="1:6">
      <c r="A638" s="87">
        <v>3164</v>
      </c>
      <c r="E638"/>
      <c r="F638"/>
    </row>
    <row r="639" spans="1:6">
      <c r="A639" s="87">
        <v>3167</v>
      </c>
      <c r="E639"/>
      <c r="F639"/>
    </row>
    <row r="640" spans="1:6">
      <c r="A640" s="87">
        <v>3169</v>
      </c>
      <c r="E640"/>
      <c r="F640"/>
    </row>
    <row r="641" spans="1:6">
      <c r="A641" s="87">
        <v>3171</v>
      </c>
      <c r="E641"/>
      <c r="F641"/>
    </row>
    <row r="642" spans="1:6">
      <c r="A642" s="87">
        <v>3176</v>
      </c>
      <c r="E642"/>
      <c r="F642"/>
    </row>
    <row r="643" spans="1:6">
      <c r="A643" s="87">
        <v>3188</v>
      </c>
      <c r="E643"/>
      <c r="F643"/>
    </row>
    <row r="644" spans="1:6">
      <c r="A644" s="87">
        <v>3189</v>
      </c>
      <c r="E644"/>
      <c r="F644"/>
    </row>
    <row r="645" spans="1:6">
      <c r="A645" s="87">
        <v>3191</v>
      </c>
      <c r="E645"/>
      <c r="F645"/>
    </row>
    <row r="646" spans="1:6">
      <c r="A646" s="87">
        <v>3202</v>
      </c>
      <c r="E646"/>
      <c r="F646"/>
    </row>
    <row r="647" spans="1:6">
      <c r="A647" s="87">
        <v>3205</v>
      </c>
      <c r="E647"/>
      <c r="F647"/>
    </row>
    <row r="648" spans="1:6">
      <c r="A648" s="87">
        <v>3206</v>
      </c>
      <c r="E648"/>
      <c r="F648"/>
    </row>
    <row r="649" spans="1:6">
      <c r="A649" s="87">
        <v>3207</v>
      </c>
      <c r="E649"/>
      <c r="F649"/>
    </row>
    <row r="650" spans="1:6">
      <c r="A650" s="87">
        <v>3209</v>
      </c>
      <c r="E650"/>
      <c r="F650"/>
    </row>
    <row r="651" spans="1:6">
      <c r="A651" s="87">
        <v>3211</v>
      </c>
      <c r="E651"/>
      <c r="F651"/>
    </row>
    <row r="652" spans="1:6">
      <c r="A652" s="87">
        <v>3213</v>
      </c>
      <c r="E652"/>
      <c r="F652"/>
    </row>
    <row r="653" spans="1:6">
      <c r="A653" s="87">
        <v>3217</v>
      </c>
      <c r="E653"/>
      <c r="F653"/>
    </row>
    <row r="654" spans="1:6">
      <c r="A654" s="87">
        <v>3218</v>
      </c>
      <c r="E654"/>
      <c r="F654"/>
    </row>
    <row r="655" spans="1:6">
      <c r="A655" s="87">
        <v>3219</v>
      </c>
      <c r="E655"/>
      <c r="F655"/>
    </row>
    <row r="656" spans="1:6">
      <c r="A656" s="87">
        <v>3221</v>
      </c>
      <c r="E656"/>
      <c r="F656"/>
    </row>
    <row r="657" spans="1:6">
      <c r="A657" s="87">
        <v>3224</v>
      </c>
      <c r="E657"/>
      <c r="F657"/>
    </row>
    <row r="658" spans="1:6">
      <c r="A658" s="87">
        <v>3226</v>
      </c>
      <c r="E658"/>
      <c r="F658"/>
    </row>
    <row r="659" spans="1:6">
      <c r="A659" s="87">
        <v>3227</v>
      </c>
      <c r="E659"/>
      <c r="F659"/>
    </row>
    <row r="660" spans="1:6">
      <c r="A660" s="87">
        <v>3228</v>
      </c>
      <c r="E660"/>
      <c r="F660"/>
    </row>
    <row r="661" spans="1:6">
      <c r="A661" s="87">
        <v>3229</v>
      </c>
      <c r="E661"/>
      <c r="F661"/>
    </row>
    <row r="662" spans="1:6">
      <c r="A662" s="87">
        <v>3230</v>
      </c>
      <c r="E662"/>
      <c r="F662"/>
    </row>
    <row r="663" spans="1:6">
      <c r="A663" s="87">
        <v>3231</v>
      </c>
      <c r="E663"/>
      <c r="F663"/>
    </row>
    <row r="664" spans="1:6">
      <c r="A664" s="87">
        <v>3232</v>
      </c>
      <c r="E664"/>
      <c r="F664"/>
    </row>
    <row r="665" spans="1:6">
      <c r="A665" s="87">
        <v>3234</v>
      </c>
      <c r="E665"/>
      <c r="F665"/>
    </row>
    <row r="666" spans="1:6">
      <c r="A666" s="87">
        <v>3236</v>
      </c>
      <c r="E666"/>
      <c r="F666"/>
    </row>
    <row r="667" spans="1:6">
      <c r="A667" s="87">
        <v>3252</v>
      </c>
      <c r="E667"/>
      <c r="F667"/>
    </row>
    <row r="668" spans="1:6">
      <c r="A668" s="87">
        <v>3257</v>
      </c>
      <c r="E668"/>
      <c r="F668"/>
    </row>
    <row r="669" spans="1:6">
      <c r="A669" s="87">
        <v>3259</v>
      </c>
      <c r="E669"/>
      <c r="F669"/>
    </row>
    <row r="670" spans="1:6">
      <c r="A670" s="87">
        <v>3260</v>
      </c>
      <c r="E670"/>
      <c r="F670"/>
    </row>
    <row r="671" spans="1:6">
      <c r="A671" s="87">
        <v>3264</v>
      </c>
      <c r="E671"/>
      <c r="F671"/>
    </row>
    <row r="672" spans="1:6">
      <c r="A672" s="87">
        <v>3265</v>
      </c>
      <c r="E672"/>
      <c r="F672"/>
    </row>
    <row r="673" spans="1:6">
      <c r="A673" s="87">
        <v>3266</v>
      </c>
      <c r="E673"/>
      <c r="F673"/>
    </row>
    <row r="674" spans="1:6">
      <c r="A674" s="87">
        <v>3268</v>
      </c>
      <c r="E674"/>
      <c r="F674"/>
    </row>
    <row r="675" spans="1:6">
      <c r="A675" s="87">
        <v>3272</v>
      </c>
      <c r="E675"/>
      <c r="F675"/>
    </row>
    <row r="676" spans="1:6">
      <c r="A676" s="87">
        <v>3276</v>
      </c>
      <c r="E676"/>
      <c r="F676"/>
    </row>
    <row r="677" spans="1:6">
      <c r="A677" s="87">
        <v>3284</v>
      </c>
      <c r="E677"/>
      <c r="F677"/>
    </row>
    <row r="678" spans="1:6">
      <c r="A678" s="87">
        <v>3285</v>
      </c>
      <c r="E678"/>
      <c r="F678"/>
    </row>
    <row r="679" spans="1:6">
      <c r="A679" s="87">
        <v>3287</v>
      </c>
      <c r="E679"/>
      <c r="F679"/>
    </row>
    <row r="680" spans="1:6">
      <c r="A680" s="87">
        <v>3288</v>
      </c>
      <c r="E680"/>
      <c r="F680"/>
    </row>
    <row r="681" spans="1:6">
      <c r="A681" s="87">
        <v>3289</v>
      </c>
      <c r="E681"/>
      <c r="F681"/>
    </row>
    <row r="682" spans="1:6">
      <c r="A682" s="87">
        <v>3290</v>
      </c>
      <c r="E682"/>
      <c r="F682"/>
    </row>
    <row r="683" spans="1:6">
      <c r="A683" s="87">
        <v>3291</v>
      </c>
      <c r="E683"/>
      <c r="F683"/>
    </row>
    <row r="684" spans="1:6">
      <c r="A684" s="87">
        <v>3293</v>
      </c>
      <c r="E684"/>
      <c r="F684"/>
    </row>
    <row r="685" spans="1:6">
      <c r="A685" s="87">
        <v>3294</v>
      </c>
      <c r="E685"/>
      <c r="F685"/>
    </row>
    <row r="686" spans="1:6">
      <c r="A686" s="87">
        <v>3296</v>
      </c>
      <c r="E686"/>
      <c r="F686"/>
    </row>
    <row r="687" spans="1:6">
      <c r="A687" s="87">
        <v>3297</v>
      </c>
      <c r="E687"/>
      <c r="F687"/>
    </row>
    <row r="688" spans="1:6">
      <c r="A688" s="87">
        <v>3299</v>
      </c>
      <c r="E688"/>
      <c r="F688"/>
    </row>
    <row r="689" spans="1:6">
      <c r="A689" s="87">
        <v>3303</v>
      </c>
      <c r="E689"/>
      <c r="F689"/>
    </row>
    <row r="690" spans="1:6">
      <c r="A690" s="87">
        <v>3305</v>
      </c>
      <c r="E690"/>
      <c r="F690"/>
    </row>
    <row r="691" spans="1:6">
      <c r="A691" s="87">
        <v>3306</v>
      </c>
      <c r="E691"/>
      <c r="F691"/>
    </row>
    <row r="692" spans="1:6">
      <c r="A692" s="87">
        <v>3308</v>
      </c>
      <c r="E692"/>
      <c r="F692"/>
    </row>
    <row r="693" spans="1:6">
      <c r="A693" s="87">
        <v>3310</v>
      </c>
      <c r="E693"/>
      <c r="F693"/>
    </row>
    <row r="694" spans="1:6">
      <c r="A694" s="87">
        <v>3311</v>
      </c>
      <c r="E694"/>
      <c r="F694"/>
    </row>
    <row r="695" spans="1:6">
      <c r="A695" s="87">
        <v>3312</v>
      </c>
      <c r="E695"/>
      <c r="F695"/>
    </row>
    <row r="696" spans="1:6">
      <c r="A696" s="87">
        <v>3313</v>
      </c>
      <c r="E696"/>
      <c r="F696"/>
    </row>
    <row r="697" spans="1:6">
      <c r="A697" s="87">
        <v>3315</v>
      </c>
      <c r="E697"/>
      <c r="F697"/>
    </row>
    <row r="698" spans="1:6">
      <c r="A698" s="87">
        <v>3317</v>
      </c>
      <c r="E698"/>
      <c r="F698"/>
    </row>
    <row r="699" spans="1:6">
      <c r="A699" s="87">
        <v>3322</v>
      </c>
      <c r="E699"/>
      <c r="F699"/>
    </row>
    <row r="700" spans="1:6">
      <c r="A700" s="87">
        <v>3323</v>
      </c>
      <c r="E700"/>
      <c r="F700"/>
    </row>
    <row r="701" spans="1:6">
      <c r="A701" s="87">
        <v>3324</v>
      </c>
      <c r="E701"/>
      <c r="F701"/>
    </row>
    <row r="702" spans="1:6">
      <c r="A702" s="87">
        <v>3325</v>
      </c>
      <c r="E702"/>
      <c r="F702"/>
    </row>
    <row r="703" spans="1:6">
      <c r="A703" s="87">
        <v>3332</v>
      </c>
      <c r="E703"/>
      <c r="F703"/>
    </row>
    <row r="704" spans="1:6">
      <c r="A704" s="87">
        <v>3338</v>
      </c>
      <c r="E704"/>
      <c r="F704"/>
    </row>
    <row r="705" spans="1:6">
      <c r="A705" s="87">
        <v>3339</v>
      </c>
      <c r="E705"/>
      <c r="F705"/>
    </row>
    <row r="706" spans="1:6">
      <c r="A706" s="87">
        <v>3354</v>
      </c>
      <c r="E706"/>
      <c r="F706"/>
    </row>
    <row r="707" spans="1:6">
      <c r="A707" s="87">
        <v>3356</v>
      </c>
      <c r="E707"/>
      <c r="F707"/>
    </row>
    <row r="708" spans="1:6">
      <c r="A708" s="87">
        <v>3360</v>
      </c>
      <c r="E708"/>
      <c r="F708"/>
    </row>
    <row r="709" spans="1:6">
      <c r="A709" s="87">
        <v>3362</v>
      </c>
      <c r="E709"/>
      <c r="F709"/>
    </row>
    <row r="710" spans="1:6">
      <c r="A710" s="87">
        <v>3363</v>
      </c>
      <c r="E710"/>
      <c r="F710"/>
    </row>
    <row r="711" spans="1:6">
      <c r="A711" s="87">
        <v>3372</v>
      </c>
      <c r="E711"/>
      <c r="F711"/>
    </row>
    <row r="712" spans="1:6">
      <c r="A712" s="87">
        <v>3373</v>
      </c>
      <c r="E712"/>
      <c r="F712"/>
    </row>
    <row r="713" spans="1:6">
      <c r="A713" s="87">
        <v>3374</v>
      </c>
      <c r="E713"/>
      <c r="F713"/>
    </row>
    <row r="714" spans="1:6">
      <c r="A714" s="87">
        <v>3376</v>
      </c>
      <c r="E714"/>
      <c r="F714"/>
    </row>
    <row r="715" spans="1:6">
      <c r="A715" s="87">
        <v>3379</v>
      </c>
      <c r="E715"/>
      <c r="F715"/>
    </row>
    <row r="716" spans="1:6">
      <c r="A716" s="87">
        <v>3380</v>
      </c>
      <c r="E716"/>
      <c r="F716"/>
    </row>
    <row r="717" spans="1:6">
      <c r="A717" s="87">
        <v>3383</v>
      </c>
      <c r="E717"/>
      <c r="F717"/>
    </row>
    <row r="718" spans="1:6">
      <c r="A718" s="87">
        <v>3388</v>
      </c>
      <c r="E718"/>
      <c r="F718"/>
    </row>
    <row r="719" spans="1:6">
      <c r="A719" s="87">
        <v>3390</v>
      </c>
      <c r="E719"/>
      <c r="F719"/>
    </row>
    <row r="720" spans="1:6">
      <c r="A720" s="87">
        <v>3402</v>
      </c>
      <c r="E720"/>
      <c r="F720"/>
    </row>
    <row r="721" spans="1:6">
      <c r="A721" s="87">
        <v>3406</v>
      </c>
      <c r="E721"/>
      <c r="F721"/>
    </row>
    <row r="722" spans="1:6">
      <c r="A722" s="87">
        <v>3416</v>
      </c>
      <c r="E722"/>
      <c r="F722"/>
    </row>
    <row r="723" spans="1:6">
      <c r="A723" s="87">
        <v>3419</v>
      </c>
      <c r="E723"/>
      <c r="F723"/>
    </row>
    <row r="724" spans="1:6">
      <c r="A724" s="87">
        <v>3428</v>
      </c>
      <c r="E724"/>
      <c r="F724"/>
    </row>
    <row r="725" spans="1:6">
      <c r="A725" s="87">
        <v>3431</v>
      </c>
      <c r="E725"/>
      <c r="F725"/>
    </row>
    <row r="726" spans="1:6">
      <c r="A726" s="87">
        <v>3432</v>
      </c>
      <c r="E726"/>
      <c r="F726"/>
    </row>
    <row r="727" spans="1:6">
      <c r="A727" s="87">
        <v>3434</v>
      </c>
      <c r="E727"/>
      <c r="F727"/>
    </row>
    <row r="728" spans="1:6">
      <c r="A728" s="87">
        <v>3437</v>
      </c>
      <c r="E728"/>
      <c r="F728"/>
    </row>
    <row r="729" spans="1:6">
      <c r="A729" s="87">
        <v>3438</v>
      </c>
      <c r="E729"/>
      <c r="F729"/>
    </row>
    <row r="730" spans="1:6">
      <c r="A730" s="87">
        <v>3441</v>
      </c>
      <c r="E730"/>
      <c r="F730"/>
    </row>
    <row r="731" spans="1:6">
      <c r="A731" s="87">
        <v>3443</v>
      </c>
      <c r="E731"/>
      <c r="F731"/>
    </row>
    <row r="732" spans="1:6">
      <c r="A732" s="87">
        <v>3444</v>
      </c>
      <c r="E732"/>
      <c r="F732"/>
    </row>
    <row r="733" spans="1:6">
      <c r="A733" s="87">
        <v>3450</v>
      </c>
      <c r="E733"/>
      <c r="F733"/>
    </row>
    <row r="734" spans="1:6">
      <c r="A734" s="87">
        <v>3452</v>
      </c>
      <c r="E734"/>
      <c r="F734"/>
    </row>
    <row r="735" spans="1:6">
      <c r="A735" s="87">
        <v>3454</v>
      </c>
      <c r="E735"/>
      <c r="F735"/>
    </row>
    <row r="736" spans="1:6">
      <c r="A736" s="87">
        <v>3455</v>
      </c>
      <c r="E736"/>
      <c r="F736"/>
    </row>
    <row r="737" spans="1:6">
      <c r="A737" s="87">
        <v>3465</v>
      </c>
      <c r="E737"/>
      <c r="F737"/>
    </row>
    <row r="738" spans="1:6">
      <c r="A738" s="87">
        <v>3466</v>
      </c>
      <c r="E738"/>
      <c r="F738"/>
    </row>
    <row r="739" spans="1:6">
      <c r="A739" s="87">
        <v>3474</v>
      </c>
      <c r="E739"/>
      <c r="F739"/>
    </row>
    <row r="740" spans="1:6">
      <c r="A740" s="87">
        <v>3479</v>
      </c>
      <c r="E740"/>
      <c r="F740"/>
    </row>
    <row r="741" spans="1:6">
      <c r="A741" s="87">
        <v>3481</v>
      </c>
      <c r="E741"/>
      <c r="F741"/>
    </row>
    <row r="742" spans="1:6">
      <c r="A742" s="87">
        <v>3483</v>
      </c>
      <c r="E742"/>
      <c r="F742"/>
    </row>
    <row r="743" spans="1:6">
      <c r="A743" s="87">
        <v>3484</v>
      </c>
      <c r="E743"/>
      <c r="F743"/>
    </row>
    <row r="744" spans="1:6">
      <c r="A744" s="87">
        <v>3489</v>
      </c>
      <c r="E744"/>
      <c r="F744"/>
    </row>
    <row r="745" spans="1:6">
      <c r="A745" s="87">
        <v>3490</v>
      </c>
      <c r="E745"/>
      <c r="F745"/>
    </row>
    <row r="746" spans="1:6">
      <c r="A746" s="87">
        <v>3491</v>
      </c>
      <c r="E746"/>
      <c r="F746"/>
    </row>
    <row r="747" spans="1:6">
      <c r="A747" s="87">
        <v>3494</v>
      </c>
      <c r="E747"/>
      <c r="F747"/>
    </row>
    <row r="748" spans="1:6">
      <c r="A748" s="87">
        <v>3498</v>
      </c>
      <c r="E748"/>
      <c r="F748"/>
    </row>
    <row r="749" spans="1:6">
      <c r="A749" s="87">
        <v>3499</v>
      </c>
      <c r="E749"/>
      <c r="F749"/>
    </row>
    <row r="750" spans="1:6">
      <c r="A750" s="87">
        <v>3501</v>
      </c>
      <c r="E750"/>
      <c r="F750"/>
    </row>
    <row r="751" spans="1:6">
      <c r="A751" s="87">
        <v>3504</v>
      </c>
      <c r="E751"/>
      <c r="F751"/>
    </row>
    <row r="752" spans="1:6">
      <c r="A752" s="87">
        <v>3508</v>
      </c>
      <c r="E752"/>
      <c r="F752"/>
    </row>
    <row r="753" spans="1:6">
      <c r="A753" s="87">
        <v>3511</v>
      </c>
      <c r="E753"/>
      <c r="F753"/>
    </row>
    <row r="754" spans="1:6">
      <c r="A754" s="87">
        <v>3512</v>
      </c>
      <c r="E754"/>
      <c r="F754"/>
    </row>
    <row r="755" spans="1:6">
      <c r="A755" s="87">
        <v>3514</v>
      </c>
      <c r="E755"/>
      <c r="F755"/>
    </row>
    <row r="756" spans="1:6">
      <c r="A756" s="87">
        <v>3515</v>
      </c>
      <c r="E756"/>
      <c r="F756"/>
    </row>
    <row r="757" spans="1:6">
      <c r="A757" s="87">
        <v>3516</v>
      </c>
      <c r="E757"/>
      <c r="F757"/>
    </row>
    <row r="758" spans="1:6">
      <c r="A758" s="87">
        <v>3518</v>
      </c>
      <c r="E758"/>
      <c r="F758"/>
    </row>
    <row r="759" spans="1:6">
      <c r="A759" s="87">
        <v>3519</v>
      </c>
      <c r="E759"/>
      <c r="F759"/>
    </row>
    <row r="760" spans="1:6">
      <c r="A760" s="87">
        <v>3520</v>
      </c>
      <c r="E760"/>
      <c r="F760"/>
    </row>
    <row r="761" spans="1:6">
      <c r="A761" s="87">
        <v>3521</v>
      </c>
      <c r="E761"/>
      <c r="F761"/>
    </row>
    <row r="762" spans="1:6">
      <c r="A762" s="87">
        <v>3522</v>
      </c>
      <c r="E762"/>
      <c r="F762"/>
    </row>
    <row r="763" spans="1:6">
      <c r="A763" s="87">
        <v>3523</v>
      </c>
      <c r="E763"/>
      <c r="F763"/>
    </row>
    <row r="764" spans="1:6">
      <c r="A764" s="87">
        <v>3526</v>
      </c>
      <c r="E764"/>
      <c r="F764"/>
    </row>
    <row r="765" spans="1:6">
      <c r="A765" s="87">
        <v>3527</v>
      </c>
      <c r="E765"/>
      <c r="F765"/>
    </row>
    <row r="766" spans="1:6">
      <c r="A766" s="87">
        <v>3528</v>
      </c>
      <c r="E766"/>
      <c r="F766"/>
    </row>
    <row r="767" spans="1:6">
      <c r="A767" s="87">
        <v>3529</v>
      </c>
      <c r="E767"/>
      <c r="F767"/>
    </row>
    <row r="768" spans="1:6">
      <c r="A768" s="87">
        <v>3531</v>
      </c>
      <c r="E768"/>
      <c r="F768"/>
    </row>
    <row r="769" spans="1:6">
      <c r="A769" s="87">
        <v>3532</v>
      </c>
      <c r="E769"/>
      <c r="F769"/>
    </row>
    <row r="770" spans="1:6">
      <c r="A770" s="87">
        <v>3533</v>
      </c>
      <c r="E770"/>
      <c r="F770"/>
    </row>
    <row r="771" spans="1:6">
      <c r="A771" s="87">
        <v>3535</v>
      </c>
      <c r="E771"/>
      <c r="F771"/>
    </row>
    <row r="772" spans="1:6">
      <c r="A772" s="87">
        <v>3536</v>
      </c>
      <c r="E772"/>
      <c r="F772"/>
    </row>
    <row r="773" spans="1:6">
      <c r="A773" s="87">
        <v>3537</v>
      </c>
      <c r="E773"/>
      <c r="F773"/>
    </row>
    <row r="774" spans="1:6">
      <c r="A774" s="87">
        <v>3540</v>
      </c>
      <c r="E774"/>
      <c r="F774"/>
    </row>
    <row r="775" spans="1:6">
      <c r="A775" s="87">
        <v>3541</v>
      </c>
      <c r="E775"/>
      <c r="F775"/>
    </row>
    <row r="776" spans="1:6">
      <c r="A776" s="87">
        <v>3545</v>
      </c>
      <c r="E776"/>
      <c r="F776"/>
    </row>
    <row r="777" spans="1:6">
      <c r="A777" s="87">
        <v>3546</v>
      </c>
      <c r="E777"/>
      <c r="F777"/>
    </row>
    <row r="778" spans="1:6">
      <c r="A778" s="87">
        <v>3548</v>
      </c>
      <c r="E778"/>
      <c r="F778"/>
    </row>
    <row r="779" spans="1:6">
      <c r="A779" s="87">
        <v>3550</v>
      </c>
      <c r="E779"/>
      <c r="F779"/>
    </row>
    <row r="780" spans="1:6">
      <c r="A780" s="87">
        <v>3551</v>
      </c>
      <c r="E780"/>
      <c r="F780"/>
    </row>
    <row r="781" spans="1:6">
      <c r="A781" s="87">
        <v>3552</v>
      </c>
      <c r="E781"/>
      <c r="F781"/>
    </row>
    <row r="782" spans="1:6">
      <c r="A782" s="87">
        <v>3553</v>
      </c>
      <c r="E782"/>
      <c r="F782"/>
    </row>
    <row r="783" spans="1:6">
      <c r="A783" s="87">
        <v>3555</v>
      </c>
      <c r="E783"/>
      <c r="F783"/>
    </row>
    <row r="784" spans="1:6">
      <c r="A784" s="87">
        <v>3556</v>
      </c>
      <c r="E784"/>
      <c r="F784"/>
    </row>
    <row r="785" spans="1:6">
      <c r="A785" s="87">
        <v>3557</v>
      </c>
      <c r="E785"/>
      <c r="F785"/>
    </row>
    <row r="786" spans="1:6">
      <c r="A786" s="87">
        <v>3558</v>
      </c>
      <c r="E786"/>
      <c r="F786"/>
    </row>
    <row r="787" spans="1:6">
      <c r="A787" s="87">
        <v>3559</v>
      </c>
      <c r="E787"/>
      <c r="F787"/>
    </row>
    <row r="788" spans="1:6">
      <c r="A788" s="87">
        <v>3561</v>
      </c>
      <c r="E788"/>
      <c r="F788"/>
    </row>
    <row r="789" spans="1:6">
      <c r="A789" s="87">
        <v>3562</v>
      </c>
      <c r="E789"/>
      <c r="F789"/>
    </row>
    <row r="790" spans="1:6">
      <c r="A790" s="87">
        <v>3563</v>
      </c>
      <c r="E790"/>
      <c r="F790"/>
    </row>
    <row r="791" spans="1:6">
      <c r="A791" s="87">
        <v>3564</v>
      </c>
      <c r="E791"/>
      <c r="F791"/>
    </row>
    <row r="792" spans="1:6">
      <c r="A792" s="87">
        <v>3567</v>
      </c>
      <c r="E792"/>
      <c r="F792"/>
    </row>
    <row r="793" spans="1:6">
      <c r="A793" s="87">
        <v>3570</v>
      </c>
      <c r="E793"/>
      <c r="F793"/>
    </row>
    <row r="794" spans="1:6">
      <c r="A794" s="87">
        <v>3573</v>
      </c>
      <c r="E794"/>
      <c r="F794"/>
    </row>
    <row r="795" spans="1:6">
      <c r="A795" s="87">
        <v>3576</v>
      </c>
      <c r="E795"/>
      <c r="F795"/>
    </row>
    <row r="796" spans="1:6">
      <c r="A796" s="87">
        <v>3577</v>
      </c>
      <c r="E796"/>
      <c r="F796"/>
    </row>
    <row r="797" spans="1:6">
      <c r="A797" s="87">
        <v>3579</v>
      </c>
      <c r="E797"/>
      <c r="F797"/>
    </row>
    <row r="798" spans="1:6">
      <c r="A798" s="87">
        <v>3580</v>
      </c>
      <c r="E798"/>
      <c r="F798"/>
    </row>
    <row r="799" spans="1:6">
      <c r="A799" s="87">
        <v>3581</v>
      </c>
      <c r="E799"/>
      <c r="F799"/>
    </row>
    <row r="800" spans="1:6">
      <c r="A800" s="87">
        <v>3583</v>
      </c>
      <c r="E800"/>
      <c r="F800"/>
    </row>
    <row r="801" spans="1:6">
      <c r="A801" s="87">
        <v>3584</v>
      </c>
      <c r="E801"/>
      <c r="F801"/>
    </row>
    <row r="802" spans="1:6">
      <c r="A802" s="87">
        <v>3587</v>
      </c>
      <c r="E802"/>
      <c r="F802"/>
    </row>
    <row r="803" spans="1:6">
      <c r="A803" s="87">
        <v>3588</v>
      </c>
      <c r="E803"/>
      <c r="F803"/>
    </row>
    <row r="804" spans="1:6">
      <c r="A804" s="87">
        <v>3591</v>
      </c>
      <c r="E804"/>
      <c r="F804"/>
    </row>
    <row r="805" spans="1:6">
      <c r="A805" s="87">
        <v>3593</v>
      </c>
      <c r="E805"/>
      <c r="F805"/>
    </row>
    <row r="806" spans="1:6">
      <c r="A806" s="87">
        <v>3594</v>
      </c>
      <c r="E806"/>
      <c r="F806"/>
    </row>
    <row r="807" spans="1:6">
      <c r="A807" s="87">
        <v>3596</v>
      </c>
      <c r="E807"/>
      <c r="F807"/>
    </row>
    <row r="808" spans="1:6">
      <c r="A808" s="87">
        <v>3598</v>
      </c>
      <c r="E808"/>
      <c r="F808"/>
    </row>
    <row r="809" spans="1:6">
      <c r="A809" s="87">
        <v>3605</v>
      </c>
      <c r="E809"/>
      <c r="F809"/>
    </row>
    <row r="810" spans="1:6">
      <c r="A810" s="87">
        <v>3607</v>
      </c>
      <c r="E810"/>
      <c r="F810"/>
    </row>
    <row r="811" spans="1:6">
      <c r="A811" s="87">
        <v>3609</v>
      </c>
      <c r="E811"/>
      <c r="F811"/>
    </row>
    <row r="812" spans="1:6">
      <c r="A812" s="87">
        <v>3611</v>
      </c>
      <c r="E812"/>
      <c r="F812"/>
    </row>
    <row r="813" spans="1:6">
      <c r="A813" s="87">
        <v>3615</v>
      </c>
      <c r="E813"/>
      <c r="F813"/>
    </row>
    <row r="814" spans="1:6">
      <c r="A814" s="87">
        <v>3617</v>
      </c>
      <c r="E814"/>
      <c r="F814"/>
    </row>
    <row r="815" spans="1:6">
      <c r="A815" s="87">
        <v>3622</v>
      </c>
      <c r="E815"/>
      <c r="F815"/>
    </row>
    <row r="816" spans="1:6">
      <c r="A816" s="87">
        <v>3623</v>
      </c>
      <c r="E816"/>
      <c r="F816"/>
    </row>
    <row r="817" spans="1:6">
      <c r="A817" s="87">
        <v>3624</v>
      </c>
      <c r="E817"/>
      <c r="F817"/>
    </row>
    <row r="818" spans="1:6">
      <c r="A818" s="87">
        <v>3625</v>
      </c>
      <c r="E818"/>
      <c r="F818"/>
    </row>
    <row r="819" spans="1:6">
      <c r="A819" s="87">
        <v>3628</v>
      </c>
      <c r="E819"/>
      <c r="F819"/>
    </row>
    <row r="820" spans="1:6">
      <c r="A820" s="87">
        <v>3629</v>
      </c>
      <c r="E820"/>
      <c r="F820"/>
    </row>
    <row r="821" spans="1:6">
      <c r="A821" s="87">
        <v>3630</v>
      </c>
      <c r="E821"/>
      <c r="F821"/>
    </row>
    <row r="822" spans="1:6">
      <c r="A822" s="87">
        <v>3631</v>
      </c>
      <c r="E822"/>
      <c r="F822"/>
    </row>
    <row r="823" spans="1:6">
      <c r="A823" s="87">
        <v>3632</v>
      </c>
      <c r="E823"/>
      <c r="F823"/>
    </row>
    <row r="824" spans="1:6">
      <c r="A824" s="87">
        <v>3642</v>
      </c>
      <c r="E824"/>
      <c r="F824"/>
    </row>
    <row r="825" spans="1:6">
      <c r="A825" s="87">
        <v>3645</v>
      </c>
      <c r="E825"/>
      <c r="F825"/>
    </row>
    <row r="826" spans="1:6">
      <c r="A826" s="87">
        <v>3646</v>
      </c>
      <c r="E826"/>
      <c r="F826"/>
    </row>
    <row r="827" spans="1:6">
      <c r="A827" s="87">
        <v>3652</v>
      </c>
      <c r="E827"/>
      <c r="F827"/>
    </row>
    <row r="828" spans="1:6">
      <c r="A828" s="87">
        <v>3653</v>
      </c>
      <c r="E828"/>
      <c r="F828"/>
    </row>
    <row r="829" spans="1:6">
      <c r="A829" s="87">
        <v>3658</v>
      </c>
      <c r="E829"/>
      <c r="F829"/>
    </row>
    <row r="830" spans="1:6">
      <c r="A830" s="87">
        <v>3661</v>
      </c>
      <c r="E830"/>
      <c r="F830"/>
    </row>
    <row r="831" spans="1:6">
      <c r="A831" s="87">
        <v>3662</v>
      </c>
      <c r="E831"/>
      <c r="F831"/>
    </row>
    <row r="832" spans="1:6">
      <c r="A832" s="87">
        <v>3663</v>
      </c>
      <c r="E832"/>
      <c r="F832"/>
    </row>
    <row r="833" spans="1:6">
      <c r="A833" s="87">
        <v>3664</v>
      </c>
      <c r="E833"/>
      <c r="F833"/>
    </row>
    <row r="834" spans="1:6">
      <c r="A834" s="87">
        <v>3665</v>
      </c>
      <c r="E834"/>
      <c r="F834"/>
    </row>
    <row r="835" spans="1:6">
      <c r="A835" s="87">
        <v>3666</v>
      </c>
      <c r="E835"/>
      <c r="F835"/>
    </row>
    <row r="836" spans="1:6">
      <c r="A836" s="87">
        <v>3669</v>
      </c>
      <c r="E836"/>
      <c r="F836"/>
    </row>
    <row r="837" spans="1:6">
      <c r="A837" s="87">
        <v>3672</v>
      </c>
      <c r="E837"/>
      <c r="F837"/>
    </row>
    <row r="838" spans="1:6">
      <c r="A838" s="87">
        <v>3673</v>
      </c>
      <c r="E838"/>
      <c r="F838"/>
    </row>
    <row r="839" spans="1:6">
      <c r="A839" s="87">
        <v>3675</v>
      </c>
      <c r="E839"/>
      <c r="F839"/>
    </row>
    <row r="840" spans="1:6">
      <c r="A840" s="87">
        <v>3679</v>
      </c>
      <c r="E840"/>
      <c r="F840"/>
    </row>
    <row r="841" spans="1:6">
      <c r="A841" s="87">
        <v>3680</v>
      </c>
      <c r="E841"/>
      <c r="F841"/>
    </row>
    <row r="842" spans="1:6">
      <c r="A842" s="87">
        <v>3682</v>
      </c>
      <c r="E842"/>
      <c r="F842"/>
    </row>
    <row r="843" spans="1:6">
      <c r="A843" s="87">
        <v>3684</v>
      </c>
      <c r="E843"/>
      <c r="F843"/>
    </row>
    <row r="844" spans="1:6">
      <c r="A844" s="87">
        <v>3685</v>
      </c>
      <c r="E844"/>
      <c r="F844"/>
    </row>
    <row r="845" spans="1:6">
      <c r="A845" s="87">
        <v>3686</v>
      </c>
      <c r="E845"/>
      <c r="F845"/>
    </row>
    <row r="846" spans="1:6">
      <c r="A846" s="87">
        <v>3687</v>
      </c>
      <c r="E846"/>
      <c r="F846"/>
    </row>
    <row r="847" spans="1:6">
      <c r="A847" s="87">
        <v>3689</v>
      </c>
      <c r="E847"/>
      <c r="F847"/>
    </row>
    <row r="848" spans="1:6">
      <c r="A848" s="87">
        <v>3691</v>
      </c>
      <c r="E848"/>
      <c r="F848"/>
    </row>
    <row r="849" spans="1:6">
      <c r="A849" s="87">
        <v>3693</v>
      </c>
      <c r="E849"/>
      <c r="F849"/>
    </row>
    <row r="850" spans="1:6">
      <c r="A850" s="87">
        <v>3694</v>
      </c>
      <c r="E850"/>
      <c r="F850"/>
    </row>
    <row r="851" spans="1:6">
      <c r="A851" s="87">
        <v>3698</v>
      </c>
      <c r="E851"/>
      <c r="F851"/>
    </row>
    <row r="852" spans="1:6">
      <c r="A852" s="87">
        <v>3701</v>
      </c>
      <c r="E852"/>
      <c r="F852"/>
    </row>
    <row r="853" spans="1:6">
      <c r="A853" s="87">
        <v>3702</v>
      </c>
      <c r="E853"/>
      <c r="F853"/>
    </row>
    <row r="854" spans="1:6">
      <c r="A854" s="87">
        <v>3703</v>
      </c>
      <c r="E854"/>
      <c r="F854"/>
    </row>
    <row r="855" spans="1:6">
      <c r="A855" s="87">
        <v>3704</v>
      </c>
      <c r="E855"/>
      <c r="F855"/>
    </row>
    <row r="856" spans="1:6">
      <c r="A856" s="87">
        <v>3705</v>
      </c>
      <c r="E856"/>
      <c r="F856"/>
    </row>
    <row r="857" spans="1:6">
      <c r="A857" s="87">
        <v>3706</v>
      </c>
      <c r="E857"/>
      <c r="F857"/>
    </row>
    <row r="858" spans="1:6">
      <c r="A858" s="87">
        <v>3707</v>
      </c>
      <c r="E858"/>
      <c r="F858"/>
    </row>
    <row r="859" spans="1:6">
      <c r="A859" s="87">
        <v>4102</v>
      </c>
      <c r="E859"/>
      <c r="F859"/>
    </row>
    <row r="860" spans="1:6">
      <c r="A860" s="87">
        <v>4103</v>
      </c>
      <c r="E860"/>
      <c r="F860"/>
    </row>
    <row r="861" spans="1:6">
      <c r="A861" s="87">
        <v>4104</v>
      </c>
      <c r="E861"/>
      <c r="F861"/>
    </row>
    <row r="862" spans="1:6">
      <c r="A862" s="87">
        <v>4105</v>
      </c>
      <c r="E862"/>
      <c r="F862"/>
    </row>
    <row r="863" spans="1:6">
      <c r="A863" s="87">
        <v>4106</v>
      </c>
      <c r="E863"/>
      <c r="F863"/>
    </row>
    <row r="864" spans="1:6">
      <c r="A864" s="87">
        <v>4107</v>
      </c>
      <c r="E864"/>
      <c r="F864"/>
    </row>
    <row r="865" spans="1:6">
      <c r="A865" s="87">
        <v>4108</v>
      </c>
      <c r="E865"/>
      <c r="F865"/>
    </row>
    <row r="866" spans="1:6">
      <c r="A866" s="87">
        <v>4109</v>
      </c>
      <c r="E866"/>
      <c r="F866"/>
    </row>
    <row r="867" spans="1:6">
      <c r="A867" s="87">
        <v>4111</v>
      </c>
      <c r="E867"/>
      <c r="F867"/>
    </row>
    <row r="868" spans="1:6">
      <c r="A868" s="87">
        <v>4113</v>
      </c>
      <c r="E868"/>
      <c r="F868"/>
    </row>
    <row r="869" spans="1:6">
      <c r="A869" s="87">
        <v>4114</v>
      </c>
      <c r="E869"/>
      <c r="F869"/>
    </row>
    <row r="870" spans="1:6">
      <c r="A870" s="87">
        <v>4119</v>
      </c>
      <c r="E870"/>
      <c r="F870"/>
    </row>
    <row r="871" spans="1:6">
      <c r="A871" s="87">
        <v>4120</v>
      </c>
      <c r="E871"/>
      <c r="F871"/>
    </row>
    <row r="872" spans="1:6">
      <c r="A872" s="87">
        <v>4121</v>
      </c>
      <c r="E872"/>
      <c r="F872"/>
    </row>
    <row r="873" spans="1:6">
      <c r="A873" s="87">
        <v>4123</v>
      </c>
      <c r="E873"/>
      <c r="F873"/>
    </row>
    <row r="874" spans="1:6">
      <c r="A874" s="87">
        <v>4126</v>
      </c>
      <c r="E874"/>
      <c r="F874"/>
    </row>
    <row r="875" spans="1:6">
      <c r="A875" s="87">
        <v>4127</v>
      </c>
      <c r="E875"/>
      <c r="F875"/>
    </row>
    <row r="876" spans="1:6">
      <c r="A876" s="87">
        <v>4128</v>
      </c>
      <c r="E876"/>
      <c r="F876"/>
    </row>
    <row r="877" spans="1:6">
      <c r="A877" s="87">
        <v>4129</v>
      </c>
      <c r="E877"/>
      <c r="F877"/>
    </row>
    <row r="878" spans="1:6">
      <c r="A878" s="87">
        <v>4130</v>
      </c>
      <c r="E878"/>
      <c r="F878"/>
    </row>
    <row r="879" spans="1:6">
      <c r="A879" s="87">
        <v>4131</v>
      </c>
      <c r="E879"/>
      <c r="F879"/>
    </row>
    <row r="880" spans="1:6">
      <c r="A880" s="87">
        <v>4133</v>
      </c>
      <c r="E880"/>
      <c r="F880"/>
    </row>
    <row r="881" spans="1:6">
      <c r="A881" s="87">
        <v>4137</v>
      </c>
      <c r="E881"/>
      <c r="F881"/>
    </row>
    <row r="882" spans="1:6">
      <c r="A882" s="87">
        <v>4138</v>
      </c>
      <c r="E882"/>
      <c r="F882"/>
    </row>
    <row r="883" spans="1:6">
      <c r="A883" s="87">
        <v>4139</v>
      </c>
      <c r="E883"/>
      <c r="F883"/>
    </row>
    <row r="884" spans="1:6">
      <c r="A884" s="87">
        <v>4141</v>
      </c>
      <c r="E884"/>
      <c r="F884"/>
    </row>
    <row r="885" spans="1:6">
      <c r="A885" s="87">
        <v>4142</v>
      </c>
      <c r="E885"/>
      <c r="F885"/>
    </row>
    <row r="886" spans="1:6">
      <c r="A886" s="87">
        <v>4144</v>
      </c>
      <c r="E886"/>
      <c r="F886"/>
    </row>
    <row r="887" spans="1:6">
      <c r="A887" s="87">
        <v>4152</v>
      </c>
      <c r="E887"/>
      <c r="F887"/>
    </row>
    <row r="888" spans="1:6">
      <c r="A888" s="87">
        <v>4153</v>
      </c>
      <c r="E888"/>
      <c r="F888"/>
    </row>
    <row r="889" spans="1:6">
      <c r="A889" s="87">
        <v>4154</v>
      </c>
      <c r="E889"/>
      <c r="F889"/>
    </row>
    <row r="890" spans="1:6">
      <c r="A890" s="87">
        <v>4157</v>
      </c>
      <c r="E890"/>
      <c r="F890"/>
    </row>
    <row r="891" spans="1:6">
      <c r="A891" s="87">
        <v>4160</v>
      </c>
      <c r="E891"/>
      <c r="F891"/>
    </row>
    <row r="892" spans="1:6">
      <c r="A892" s="87">
        <v>4161</v>
      </c>
      <c r="E892"/>
      <c r="F892"/>
    </row>
    <row r="893" spans="1:6">
      <c r="A893" s="87">
        <v>4162</v>
      </c>
      <c r="E893"/>
      <c r="F893"/>
    </row>
    <row r="894" spans="1:6">
      <c r="A894" s="87">
        <v>4163</v>
      </c>
      <c r="E894"/>
      <c r="F894"/>
    </row>
    <row r="895" spans="1:6">
      <c r="A895" s="87">
        <v>4164</v>
      </c>
      <c r="E895"/>
      <c r="F895"/>
    </row>
    <row r="896" spans="1:6">
      <c r="A896" s="87">
        <v>4168</v>
      </c>
      <c r="E896"/>
      <c r="F896"/>
    </row>
    <row r="897" spans="1:6">
      <c r="A897" s="87">
        <v>4171</v>
      </c>
      <c r="E897"/>
      <c r="F897"/>
    </row>
    <row r="898" spans="1:6">
      <c r="A898" s="87">
        <v>4173</v>
      </c>
      <c r="E898"/>
      <c r="F898"/>
    </row>
    <row r="899" spans="1:6">
      <c r="A899" s="87">
        <v>4174</v>
      </c>
      <c r="E899"/>
      <c r="F899"/>
    </row>
    <row r="900" spans="1:6">
      <c r="A900" s="87">
        <v>4175</v>
      </c>
      <c r="E900"/>
      <c r="F900"/>
    </row>
    <row r="901" spans="1:6">
      <c r="A901" s="87">
        <v>4180</v>
      </c>
      <c r="E901"/>
      <c r="F901"/>
    </row>
    <row r="902" spans="1:6">
      <c r="A902" s="87">
        <v>4188</v>
      </c>
      <c r="E902"/>
      <c r="F902"/>
    </row>
    <row r="903" spans="1:6">
      <c r="A903" s="87">
        <v>4192</v>
      </c>
      <c r="E903"/>
      <c r="F903"/>
    </row>
    <row r="904" spans="1:6">
      <c r="A904" s="87">
        <v>4198</v>
      </c>
      <c r="E904"/>
      <c r="F904"/>
    </row>
    <row r="905" spans="1:6">
      <c r="A905" s="87">
        <v>4205</v>
      </c>
      <c r="E905"/>
      <c r="F905"/>
    </row>
    <row r="906" spans="1:6">
      <c r="A906" s="87">
        <v>4207</v>
      </c>
      <c r="E906"/>
      <c r="F906"/>
    </row>
    <row r="907" spans="1:6">
      <c r="A907" s="87">
        <v>4303</v>
      </c>
      <c r="E907"/>
      <c r="F907"/>
    </row>
    <row r="908" spans="1:6">
      <c r="A908" s="87">
        <v>4304</v>
      </c>
      <c r="E908"/>
      <c r="F908"/>
    </row>
    <row r="909" spans="1:6">
      <c r="A909" s="87">
        <v>4305</v>
      </c>
      <c r="E909"/>
      <c r="F909"/>
    </row>
    <row r="910" spans="1:6">
      <c r="A910" s="87">
        <v>4306</v>
      </c>
      <c r="E910"/>
      <c r="F910"/>
    </row>
    <row r="911" spans="1:6">
      <c r="A911" s="87">
        <v>4401</v>
      </c>
      <c r="E911"/>
      <c r="F911"/>
    </row>
    <row r="912" spans="1:6">
      <c r="A912" s="87">
        <v>4402</v>
      </c>
      <c r="E912"/>
      <c r="F912"/>
    </row>
    <row r="913" spans="1:6">
      <c r="A913" s="87">
        <v>4406</v>
      </c>
      <c r="E913"/>
      <c r="F913"/>
    </row>
    <row r="914" spans="1:6">
      <c r="A914" s="87">
        <v>4414</v>
      </c>
      <c r="E914"/>
      <c r="F914"/>
    </row>
    <row r="915" spans="1:6">
      <c r="A915" s="87">
        <v>4415</v>
      </c>
      <c r="E915"/>
      <c r="F915"/>
    </row>
    <row r="916" spans="1:6">
      <c r="A916" s="87">
        <v>4416</v>
      </c>
      <c r="E916"/>
      <c r="F916"/>
    </row>
    <row r="917" spans="1:6">
      <c r="A917" s="87">
        <v>4417</v>
      </c>
      <c r="E917"/>
      <c r="F917"/>
    </row>
    <row r="918" spans="1:6">
      <c r="A918" s="87">
        <v>4419</v>
      </c>
      <c r="E918"/>
      <c r="F918"/>
    </row>
    <row r="919" spans="1:6">
      <c r="A919" s="87">
        <v>4420</v>
      </c>
      <c r="E919"/>
      <c r="F919"/>
    </row>
    <row r="920" spans="1:6">
      <c r="A920" s="87">
        <v>4426</v>
      </c>
      <c r="E920"/>
      <c r="F920"/>
    </row>
    <row r="921" spans="1:6">
      <c r="A921" s="87">
        <v>4429</v>
      </c>
      <c r="E921"/>
      <c r="F921"/>
    </row>
    <row r="922" spans="1:6">
      <c r="A922" s="87">
        <v>4430</v>
      </c>
      <c r="E922"/>
      <c r="F922"/>
    </row>
    <row r="923" spans="1:6">
      <c r="A923" s="87">
        <v>4432</v>
      </c>
      <c r="E923"/>
      <c r="F923"/>
    </row>
    <row r="924" spans="1:6">
      <c r="A924" s="87">
        <v>4433</v>
      </c>
      <c r="E924"/>
      <c r="F924"/>
    </row>
    <row r="925" spans="1:6">
      <c r="A925" s="87">
        <v>4502</v>
      </c>
      <c r="E925"/>
      <c r="F925"/>
    </row>
    <row r="926" spans="1:6">
      <c r="A926" s="87">
        <v>4503</v>
      </c>
      <c r="E926"/>
      <c r="F926"/>
    </row>
    <row r="927" spans="1:6">
      <c r="A927" s="87">
        <v>4506</v>
      </c>
      <c r="E927"/>
      <c r="F927"/>
    </row>
    <row r="928" spans="1:6">
      <c r="A928" s="87">
        <v>4510</v>
      </c>
      <c r="E928"/>
      <c r="F928"/>
    </row>
    <row r="929" spans="1:6">
      <c r="A929" s="87">
        <v>4513</v>
      </c>
      <c r="E929"/>
      <c r="F929"/>
    </row>
    <row r="930" spans="1:6">
      <c r="A930" s="87">
        <v>4523</v>
      </c>
      <c r="E930"/>
      <c r="F930"/>
    </row>
    <row r="931" spans="1:6">
      <c r="A931" s="87">
        <v>4526</v>
      </c>
      <c r="E931"/>
      <c r="F931"/>
    </row>
    <row r="932" spans="1:6">
      <c r="A932" s="87">
        <v>4527</v>
      </c>
      <c r="E932"/>
      <c r="F932"/>
    </row>
    <row r="933" spans="1:6">
      <c r="A933" s="87">
        <v>4528</v>
      </c>
      <c r="E933"/>
      <c r="F933"/>
    </row>
    <row r="934" spans="1:6">
      <c r="A934" s="87">
        <v>4529</v>
      </c>
      <c r="E934"/>
      <c r="F934"/>
    </row>
    <row r="935" spans="1:6">
      <c r="A935" s="87">
        <v>4530</v>
      </c>
      <c r="E935"/>
      <c r="F935"/>
    </row>
    <row r="936" spans="1:6">
      <c r="A936" s="87">
        <v>4532</v>
      </c>
      <c r="E936"/>
      <c r="F936"/>
    </row>
    <row r="937" spans="1:6">
      <c r="A937" s="87">
        <v>4533</v>
      </c>
      <c r="E937"/>
      <c r="F937"/>
    </row>
    <row r="938" spans="1:6">
      <c r="A938" s="87">
        <v>4534</v>
      </c>
      <c r="E938"/>
      <c r="F938"/>
    </row>
    <row r="939" spans="1:6">
      <c r="A939" s="87">
        <v>4535</v>
      </c>
      <c r="E939"/>
      <c r="F939"/>
    </row>
    <row r="940" spans="1:6">
      <c r="A940" s="87">
        <v>4536</v>
      </c>
      <c r="E940"/>
      <c r="F940"/>
    </row>
    <row r="941" spans="1:6">
      <c r="A941" s="87">
        <v>4541</v>
      </c>
      <c r="E941"/>
      <c r="F941"/>
    </row>
    <row r="942" spans="1:6">
      <c r="A942" s="87">
        <v>4542</v>
      </c>
      <c r="E942"/>
      <c r="F942"/>
    </row>
    <row r="943" spans="1:6">
      <c r="A943" s="87">
        <v>4549</v>
      </c>
      <c r="E943"/>
      <c r="F943"/>
    </row>
    <row r="944" spans="1:6">
      <c r="A944" s="87">
        <v>4550</v>
      </c>
      <c r="E944"/>
      <c r="F944"/>
    </row>
    <row r="945" spans="1:6">
      <c r="A945" s="87">
        <v>4609</v>
      </c>
      <c r="E945"/>
      <c r="F945"/>
    </row>
    <row r="946" spans="1:6">
      <c r="A946" s="87">
        <v>4702</v>
      </c>
      <c r="E946"/>
      <c r="F946"/>
    </row>
    <row r="947" spans="1:6">
      <c r="A947" s="87">
        <v>4703</v>
      </c>
      <c r="E947"/>
      <c r="F947"/>
    </row>
    <row r="948" spans="1:6">
      <c r="A948" s="87">
        <v>4706</v>
      </c>
      <c r="E948"/>
      <c r="F948"/>
    </row>
    <row r="949" spans="1:6">
      <c r="A949" s="87">
        <v>4707</v>
      </c>
      <c r="E949"/>
      <c r="F949"/>
    </row>
    <row r="950" spans="1:6">
      <c r="A950" s="87">
        <v>4711</v>
      </c>
      <c r="E950"/>
      <c r="F950"/>
    </row>
    <row r="951" spans="1:6">
      <c r="A951" s="87">
        <v>4712</v>
      </c>
      <c r="E951"/>
      <c r="F951"/>
    </row>
    <row r="952" spans="1:6">
      <c r="A952" s="87">
        <v>4714</v>
      </c>
      <c r="E952"/>
      <c r="F952"/>
    </row>
    <row r="953" spans="1:6">
      <c r="A953" s="87">
        <v>4716</v>
      </c>
      <c r="E953"/>
      <c r="F953"/>
    </row>
    <row r="954" spans="1:6">
      <c r="A954" s="87">
        <v>4720</v>
      </c>
      <c r="E954"/>
      <c r="F954"/>
    </row>
    <row r="955" spans="1:6">
      <c r="A955" s="87">
        <v>4721</v>
      </c>
      <c r="E955"/>
      <c r="F955"/>
    </row>
    <row r="956" spans="1:6">
      <c r="A956" s="87">
        <v>4722</v>
      </c>
      <c r="E956"/>
      <c r="F956"/>
    </row>
    <row r="957" spans="1:6">
      <c r="A957" s="87">
        <v>4725</v>
      </c>
      <c r="E957"/>
      <c r="F957"/>
    </row>
    <row r="958" spans="1:6">
      <c r="A958" s="87">
        <v>4726</v>
      </c>
      <c r="E958"/>
      <c r="F958"/>
    </row>
    <row r="959" spans="1:6">
      <c r="A959" s="87">
        <v>4728</v>
      </c>
      <c r="E959"/>
      <c r="F959"/>
    </row>
    <row r="960" spans="1:6">
      <c r="A960" s="87">
        <v>4729</v>
      </c>
      <c r="E960"/>
      <c r="F960"/>
    </row>
    <row r="961" spans="1:6">
      <c r="A961" s="87">
        <v>4733</v>
      </c>
      <c r="E961"/>
      <c r="F961"/>
    </row>
    <row r="962" spans="1:6">
      <c r="A962" s="87">
        <v>4735</v>
      </c>
      <c r="E962"/>
      <c r="F962"/>
    </row>
    <row r="963" spans="1:6">
      <c r="A963" s="87">
        <v>4736</v>
      </c>
      <c r="E963"/>
      <c r="F963"/>
    </row>
    <row r="964" spans="1:6">
      <c r="A964" s="87">
        <v>4737</v>
      </c>
      <c r="E964"/>
      <c r="F964"/>
    </row>
    <row r="965" spans="1:6">
      <c r="A965" s="87">
        <v>4739</v>
      </c>
      <c r="E965"/>
      <c r="F965"/>
    </row>
    <row r="966" spans="1:6">
      <c r="A966" s="87">
        <v>4743</v>
      </c>
      <c r="E966"/>
      <c r="F966"/>
    </row>
    <row r="967" spans="1:6">
      <c r="A967" s="87">
        <v>4745</v>
      </c>
      <c r="E967"/>
      <c r="F967"/>
    </row>
    <row r="968" spans="1:6">
      <c r="A968" s="87">
        <v>4746</v>
      </c>
      <c r="E968"/>
      <c r="F968"/>
    </row>
    <row r="969" spans="1:6">
      <c r="A969" s="87">
        <v>4747</v>
      </c>
      <c r="E969"/>
      <c r="F969"/>
    </row>
    <row r="970" spans="1:6">
      <c r="A970" s="87">
        <v>4755</v>
      </c>
      <c r="E970"/>
      <c r="F970"/>
    </row>
    <row r="971" spans="1:6">
      <c r="A971" s="87">
        <v>4903</v>
      </c>
      <c r="E971"/>
      <c r="F971"/>
    </row>
    <row r="972" spans="1:6">
      <c r="A972" s="87">
        <v>4904</v>
      </c>
      <c r="E972"/>
      <c r="F972"/>
    </row>
    <row r="973" spans="1:6">
      <c r="A973" s="87">
        <v>4905</v>
      </c>
      <c r="E973"/>
      <c r="F973"/>
    </row>
    <row r="974" spans="1:6">
      <c r="A974" s="87">
        <v>4906</v>
      </c>
      <c r="E974"/>
      <c r="F974"/>
    </row>
    <row r="975" spans="1:6">
      <c r="A975" s="87">
        <v>4908</v>
      </c>
      <c r="E975"/>
      <c r="F975"/>
    </row>
    <row r="976" spans="1:6">
      <c r="A976" s="87">
        <v>4909</v>
      </c>
      <c r="E976"/>
      <c r="F976"/>
    </row>
    <row r="977" spans="1:6">
      <c r="A977" s="87">
        <v>4911</v>
      </c>
      <c r="E977"/>
      <c r="F977"/>
    </row>
    <row r="978" spans="1:6">
      <c r="A978" s="87">
        <v>4912</v>
      </c>
      <c r="E978"/>
      <c r="F978"/>
    </row>
    <row r="979" spans="1:6">
      <c r="A979" s="87">
        <v>4915</v>
      </c>
      <c r="E979"/>
      <c r="F979"/>
    </row>
    <row r="980" spans="1:6">
      <c r="A980" s="87">
        <v>4916</v>
      </c>
      <c r="E980"/>
      <c r="F980"/>
    </row>
    <row r="981" spans="1:6">
      <c r="A981" s="87">
        <v>4919</v>
      </c>
      <c r="E981"/>
      <c r="F981"/>
    </row>
    <row r="982" spans="1:6">
      <c r="A982" s="87">
        <v>4924</v>
      </c>
      <c r="E982"/>
      <c r="F982"/>
    </row>
    <row r="983" spans="1:6">
      <c r="A983" s="87">
        <v>4927</v>
      </c>
      <c r="E983"/>
      <c r="F983"/>
    </row>
    <row r="984" spans="1:6">
      <c r="A984" s="87">
        <v>4930</v>
      </c>
      <c r="E984"/>
      <c r="F984"/>
    </row>
    <row r="985" spans="1:6">
      <c r="A985" s="87">
        <v>4933</v>
      </c>
      <c r="E985"/>
      <c r="F985"/>
    </row>
    <row r="986" spans="1:6">
      <c r="A986" s="87">
        <v>4934</v>
      </c>
      <c r="E986"/>
      <c r="F986"/>
    </row>
    <row r="987" spans="1:6">
      <c r="A987" s="87">
        <v>4935</v>
      </c>
      <c r="E987"/>
      <c r="F987"/>
    </row>
    <row r="988" spans="1:6">
      <c r="A988" s="87">
        <v>4938</v>
      </c>
      <c r="E988"/>
      <c r="F988"/>
    </row>
    <row r="989" spans="1:6">
      <c r="A989" s="87">
        <v>4939</v>
      </c>
      <c r="E989"/>
      <c r="F989"/>
    </row>
    <row r="990" spans="1:6">
      <c r="A990" s="87">
        <v>4942</v>
      </c>
      <c r="E990"/>
      <c r="F990"/>
    </row>
    <row r="991" spans="1:6">
      <c r="A991" s="87">
        <v>4944</v>
      </c>
      <c r="E991"/>
      <c r="F991"/>
    </row>
    <row r="992" spans="1:6">
      <c r="A992" s="87">
        <v>4946</v>
      </c>
      <c r="E992"/>
      <c r="F992"/>
    </row>
    <row r="993" spans="1:6">
      <c r="A993" s="87">
        <v>4947</v>
      </c>
      <c r="E993"/>
      <c r="F993"/>
    </row>
    <row r="994" spans="1:6">
      <c r="A994" s="87">
        <v>4950</v>
      </c>
      <c r="E994"/>
      <c r="F994"/>
    </row>
    <row r="995" spans="1:6">
      <c r="A995" s="87">
        <v>4952</v>
      </c>
      <c r="E995"/>
      <c r="F995"/>
    </row>
    <row r="996" spans="1:6">
      <c r="A996" s="87">
        <v>4953</v>
      </c>
      <c r="E996"/>
      <c r="F996"/>
    </row>
    <row r="997" spans="1:6">
      <c r="A997" s="87">
        <v>4956</v>
      </c>
      <c r="E997"/>
      <c r="F997"/>
    </row>
    <row r="998" spans="1:6">
      <c r="A998" s="87">
        <v>4958</v>
      </c>
      <c r="E998"/>
      <c r="F998"/>
    </row>
    <row r="999" spans="1:6">
      <c r="A999" s="87">
        <v>4960</v>
      </c>
      <c r="E999"/>
      <c r="F999"/>
    </row>
    <row r="1000" spans="1:6">
      <c r="A1000" s="87">
        <v>4965</v>
      </c>
      <c r="E1000"/>
      <c r="F1000"/>
    </row>
    <row r="1001" spans="1:6">
      <c r="A1001" s="87">
        <v>4966</v>
      </c>
      <c r="E1001"/>
      <c r="F1001"/>
    </row>
    <row r="1002" spans="1:6">
      <c r="A1002" s="87">
        <v>4971</v>
      </c>
      <c r="E1002"/>
      <c r="F1002"/>
    </row>
    <row r="1003" spans="1:6">
      <c r="A1003" s="87">
        <v>4972</v>
      </c>
      <c r="E1003"/>
      <c r="F1003"/>
    </row>
    <row r="1004" spans="1:6">
      <c r="A1004" s="87">
        <v>4973</v>
      </c>
      <c r="E1004"/>
      <c r="F1004"/>
    </row>
    <row r="1005" spans="1:6">
      <c r="A1005" s="87">
        <v>4974</v>
      </c>
      <c r="E1005"/>
      <c r="F1005"/>
    </row>
    <row r="1006" spans="1:6">
      <c r="A1006" s="87">
        <v>4976</v>
      </c>
      <c r="E1006"/>
      <c r="F1006"/>
    </row>
    <row r="1007" spans="1:6">
      <c r="A1007" s="87">
        <v>4977</v>
      </c>
      <c r="E1007"/>
      <c r="F1007"/>
    </row>
    <row r="1008" spans="1:6">
      <c r="A1008" s="87">
        <v>4979</v>
      </c>
      <c r="E1008"/>
      <c r="F1008"/>
    </row>
    <row r="1009" spans="1:6">
      <c r="A1009" s="87">
        <v>4984</v>
      </c>
      <c r="E1009"/>
      <c r="F1009"/>
    </row>
    <row r="1010" spans="1:6">
      <c r="A1010" s="87">
        <v>4987</v>
      </c>
      <c r="E1010"/>
      <c r="F1010"/>
    </row>
    <row r="1011" spans="1:6">
      <c r="A1011" s="87">
        <v>4991</v>
      </c>
      <c r="E1011"/>
      <c r="F1011"/>
    </row>
    <row r="1012" spans="1:6">
      <c r="A1012" s="87">
        <v>4994</v>
      </c>
      <c r="E1012"/>
      <c r="F1012"/>
    </row>
    <row r="1013" spans="1:6">
      <c r="A1013" s="87">
        <v>4995</v>
      </c>
      <c r="E1013"/>
      <c r="F1013"/>
    </row>
    <row r="1014" spans="1:6">
      <c r="A1014" s="87">
        <v>4999</v>
      </c>
      <c r="E1014"/>
      <c r="F1014"/>
    </row>
    <row r="1015" spans="1:6">
      <c r="A1015" s="87">
        <v>5007</v>
      </c>
      <c r="E1015"/>
      <c r="F1015"/>
    </row>
    <row r="1016" spans="1:6">
      <c r="A1016" s="87">
        <v>5009</v>
      </c>
      <c r="E1016"/>
      <c r="F1016"/>
    </row>
    <row r="1017" spans="1:6">
      <c r="A1017" s="87">
        <v>5011</v>
      </c>
      <c r="E1017"/>
      <c r="F1017"/>
    </row>
    <row r="1018" spans="1:6">
      <c r="A1018" s="87">
        <v>5013</v>
      </c>
      <c r="E1018"/>
      <c r="F1018"/>
    </row>
    <row r="1019" spans="1:6">
      <c r="A1019" s="87">
        <v>5014</v>
      </c>
      <c r="E1019"/>
      <c r="F1019"/>
    </row>
    <row r="1020" spans="1:6">
      <c r="A1020" s="87">
        <v>5015</v>
      </c>
      <c r="E1020"/>
      <c r="F1020"/>
    </row>
    <row r="1021" spans="1:6">
      <c r="A1021" s="87">
        <v>5016</v>
      </c>
      <c r="E1021"/>
      <c r="F1021"/>
    </row>
    <row r="1022" spans="1:6">
      <c r="A1022" s="87">
        <v>5102</v>
      </c>
      <c r="E1022"/>
      <c r="F1022"/>
    </row>
    <row r="1023" spans="1:6">
      <c r="A1023" s="87">
        <v>5201</v>
      </c>
      <c r="E1023"/>
      <c r="F1023"/>
    </row>
    <row r="1024" spans="1:6">
      <c r="A1024" s="87">
        <v>5202</v>
      </c>
      <c r="E1024"/>
      <c r="F1024"/>
    </row>
    <row r="1025" spans="1:6">
      <c r="A1025" s="87">
        <v>5203</v>
      </c>
      <c r="E1025"/>
      <c r="F1025"/>
    </row>
    <row r="1026" spans="1:6">
      <c r="A1026" s="87">
        <v>5205</v>
      </c>
      <c r="E1026"/>
      <c r="F1026"/>
    </row>
    <row r="1027" spans="1:6">
      <c r="A1027" s="87">
        <v>5206</v>
      </c>
      <c r="E1027"/>
      <c r="F1027"/>
    </row>
    <row r="1028" spans="1:6">
      <c r="A1028" s="87">
        <v>5209</v>
      </c>
      <c r="E1028"/>
      <c r="F1028"/>
    </row>
    <row r="1029" spans="1:6">
      <c r="A1029" s="87">
        <v>5210</v>
      </c>
      <c r="E1029"/>
      <c r="F1029"/>
    </row>
    <row r="1030" spans="1:6">
      <c r="A1030" s="87">
        <v>5211</v>
      </c>
      <c r="E1030"/>
      <c r="F1030"/>
    </row>
    <row r="1031" spans="1:6">
      <c r="A1031" s="87">
        <v>5212</v>
      </c>
      <c r="E1031"/>
      <c r="F1031"/>
    </row>
    <row r="1032" spans="1:6">
      <c r="A1032" s="87">
        <v>5213</v>
      </c>
      <c r="E1032"/>
      <c r="F1032"/>
    </row>
    <row r="1033" spans="1:6">
      <c r="A1033" s="87">
        <v>5215</v>
      </c>
      <c r="E1033"/>
      <c r="F1033"/>
    </row>
    <row r="1034" spans="1:6">
      <c r="A1034" s="87">
        <v>5225</v>
      </c>
      <c r="E1034"/>
      <c r="F1034"/>
    </row>
    <row r="1035" spans="1:6">
      <c r="A1035" s="87">
        <v>5227</v>
      </c>
      <c r="E1035"/>
      <c r="F1035"/>
    </row>
    <row r="1036" spans="1:6">
      <c r="A1036" s="87">
        <v>5230</v>
      </c>
      <c r="E1036"/>
      <c r="F1036"/>
    </row>
    <row r="1037" spans="1:6">
      <c r="A1037" s="87">
        <v>5234</v>
      </c>
      <c r="E1037"/>
      <c r="F1037"/>
    </row>
    <row r="1038" spans="1:6">
      <c r="A1038" s="87">
        <v>5243</v>
      </c>
      <c r="E1038"/>
      <c r="F1038"/>
    </row>
    <row r="1039" spans="1:6">
      <c r="A1039" s="87">
        <v>5251</v>
      </c>
      <c r="E1039"/>
      <c r="F1039"/>
    </row>
    <row r="1040" spans="1:6">
      <c r="A1040" s="87">
        <v>5259</v>
      </c>
      <c r="E1040"/>
      <c r="F1040"/>
    </row>
    <row r="1041" spans="1:6">
      <c r="A1041" s="87">
        <v>5263</v>
      </c>
      <c r="E1041"/>
      <c r="F1041"/>
    </row>
    <row r="1042" spans="1:6">
      <c r="A1042" s="87">
        <v>5264</v>
      </c>
      <c r="E1042"/>
      <c r="F1042"/>
    </row>
    <row r="1043" spans="1:6">
      <c r="A1043" s="87">
        <v>5266</v>
      </c>
      <c r="E1043"/>
      <c r="F1043"/>
    </row>
    <row r="1044" spans="1:6">
      <c r="A1044" s="87">
        <v>5269</v>
      </c>
      <c r="E1044"/>
      <c r="F1044"/>
    </row>
    <row r="1045" spans="1:6">
      <c r="A1045" s="87">
        <v>5272</v>
      </c>
      <c r="E1045"/>
      <c r="F1045"/>
    </row>
    <row r="1046" spans="1:6">
      <c r="A1046" s="87">
        <v>5274</v>
      </c>
      <c r="E1046"/>
      <c r="F1046"/>
    </row>
    <row r="1047" spans="1:6">
      <c r="A1047" s="87">
        <v>5276</v>
      </c>
      <c r="E1047"/>
      <c r="F1047"/>
    </row>
    <row r="1048" spans="1:6">
      <c r="A1048" s="87">
        <v>5278</v>
      </c>
      <c r="E1048"/>
      <c r="F1048"/>
    </row>
    <row r="1049" spans="1:6">
      <c r="A1049" s="87">
        <v>5284</v>
      </c>
      <c r="E1049"/>
      <c r="F1049"/>
    </row>
    <row r="1050" spans="1:6">
      <c r="A1050" s="87">
        <v>5285</v>
      </c>
      <c r="E1050"/>
      <c r="F1050"/>
    </row>
    <row r="1051" spans="1:6">
      <c r="A1051" s="87">
        <v>5287</v>
      </c>
      <c r="E1051"/>
      <c r="F1051"/>
    </row>
    <row r="1052" spans="1:6">
      <c r="A1052" s="87">
        <v>5288</v>
      </c>
      <c r="E1052"/>
      <c r="F1052"/>
    </row>
    <row r="1053" spans="1:6">
      <c r="A1053" s="87">
        <v>5289</v>
      </c>
      <c r="E1053"/>
      <c r="F1053"/>
    </row>
    <row r="1054" spans="1:6">
      <c r="A1054" s="87">
        <v>5291</v>
      </c>
      <c r="E1054"/>
      <c r="F1054"/>
    </row>
    <row r="1055" spans="1:6">
      <c r="A1055" s="87">
        <v>5301</v>
      </c>
      <c r="E1055"/>
      <c r="F1055"/>
    </row>
    <row r="1056" spans="1:6">
      <c r="A1056" s="87">
        <v>5302</v>
      </c>
      <c r="E1056"/>
      <c r="F1056"/>
    </row>
    <row r="1057" spans="1:6">
      <c r="A1057" s="87">
        <v>5304</v>
      </c>
      <c r="E1057"/>
      <c r="F1057"/>
    </row>
    <row r="1058" spans="1:6">
      <c r="A1058" s="87">
        <v>5305</v>
      </c>
      <c r="E1058"/>
      <c r="F1058"/>
    </row>
    <row r="1059" spans="1:6">
      <c r="A1059" s="87">
        <v>5306</v>
      </c>
      <c r="E1059"/>
      <c r="F1059"/>
    </row>
    <row r="1060" spans="1:6">
      <c r="A1060" s="87">
        <v>5309</v>
      </c>
      <c r="E1060"/>
      <c r="F1060"/>
    </row>
    <row r="1061" spans="1:6">
      <c r="A1061" s="87">
        <v>5310</v>
      </c>
      <c r="E1061"/>
      <c r="F1061"/>
    </row>
    <row r="1062" spans="1:6">
      <c r="A1062" s="87">
        <v>5312</v>
      </c>
      <c r="E1062"/>
      <c r="F1062"/>
    </row>
    <row r="1063" spans="1:6">
      <c r="A1063" s="87">
        <v>5314</v>
      </c>
      <c r="E1063"/>
      <c r="F1063"/>
    </row>
    <row r="1064" spans="1:6">
      <c r="A1064" s="87">
        <v>5315</v>
      </c>
      <c r="E1064"/>
      <c r="F1064"/>
    </row>
    <row r="1065" spans="1:6">
      <c r="A1065" s="87">
        <v>5317</v>
      </c>
      <c r="E1065"/>
      <c r="F1065"/>
    </row>
    <row r="1066" spans="1:6">
      <c r="A1066" s="87">
        <v>5321</v>
      </c>
      <c r="E1066"/>
      <c r="F1066"/>
    </row>
    <row r="1067" spans="1:6">
      <c r="A1067" s="87">
        <v>5324</v>
      </c>
      <c r="E1067"/>
      <c r="F1067"/>
    </row>
    <row r="1068" spans="1:6">
      <c r="A1068" s="87">
        <v>5328</v>
      </c>
      <c r="E1068"/>
      <c r="F1068"/>
    </row>
    <row r="1069" spans="1:6">
      <c r="A1069" s="87">
        <v>5340</v>
      </c>
      <c r="E1069"/>
      <c r="F1069"/>
    </row>
    <row r="1070" spans="1:6">
      <c r="A1070" s="87">
        <v>5344</v>
      </c>
      <c r="E1070"/>
      <c r="F1070"/>
    </row>
    <row r="1071" spans="1:6">
      <c r="A1071" s="87">
        <v>5345</v>
      </c>
      <c r="E1071"/>
      <c r="F1071"/>
    </row>
    <row r="1072" spans="1:6">
      <c r="A1072" s="87">
        <v>5347</v>
      </c>
      <c r="E1072"/>
      <c r="F1072"/>
    </row>
    <row r="1073" spans="1:6">
      <c r="A1073" s="87">
        <v>5348</v>
      </c>
      <c r="E1073"/>
      <c r="F1073"/>
    </row>
    <row r="1074" spans="1:6">
      <c r="A1074" s="87">
        <v>5349</v>
      </c>
      <c r="E1074"/>
      <c r="F1074"/>
    </row>
    <row r="1075" spans="1:6">
      <c r="A1075" s="87">
        <v>5351</v>
      </c>
      <c r="E1075"/>
      <c r="F1075"/>
    </row>
    <row r="1076" spans="1:6">
      <c r="A1076" s="87">
        <v>5353</v>
      </c>
      <c r="E1076"/>
      <c r="F1076"/>
    </row>
    <row r="1077" spans="1:6">
      <c r="A1077" s="87">
        <v>5355</v>
      </c>
      <c r="E1077"/>
      <c r="F1077"/>
    </row>
    <row r="1078" spans="1:6">
      <c r="A1078" s="87">
        <v>5356</v>
      </c>
      <c r="E1078"/>
      <c r="F1078"/>
    </row>
    <row r="1079" spans="1:6">
      <c r="A1079" s="87">
        <v>5364</v>
      </c>
      <c r="E1079"/>
      <c r="F1079"/>
    </row>
    <row r="1080" spans="1:6">
      <c r="A1080" s="87">
        <v>5371</v>
      </c>
      <c r="E1080"/>
      <c r="F1080"/>
    </row>
    <row r="1081" spans="1:6">
      <c r="A1081" s="87">
        <v>5381</v>
      </c>
      <c r="E1081"/>
      <c r="F1081"/>
    </row>
    <row r="1082" spans="1:6">
      <c r="A1082" s="87">
        <v>5383</v>
      </c>
      <c r="E1082"/>
      <c r="F1082"/>
    </row>
    <row r="1083" spans="1:6">
      <c r="A1083" s="87">
        <v>5384</v>
      </c>
      <c r="E1083"/>
      <c r="F1083"/>
    </row>
    <row r="1084" spans="1:6">
      <c r="A1084" s="87">
        <v>5386</v>
      </c>
      <c r="E1084"/>
      <c r="F1084"/>
    </row>
    <row r="1085" spans="1:6">
      <c r="A1085" s="87">
        <v>5388</v>
      </c>
      <c r="E1085"/>
      <c r="F1085"/>
    </row>
    <row r="1086" spans="1:6">
      <c r="A1086" s="87">
        <v>5392</v>
      </c>
      <c r="E1086"/>
      <c r="F1086"/>
    </row>
    <row r="1087" spans="1:6">
      <c r="A1087" s="87">
        <v>5395</v>
      </c>
      <c r="E1087"/>
      <c r="F1087"/>
    </row>
    <row r="1088" spans="1:6">
      <c r="A1088" s="87">
        <v>5398</v>
      </c>
      <c r="E1088"/>
      <c r="F1088"/>
    </row>
    <row r="1089" spans="1:6">
      <c r="A1089" s="87">
        <v>5403</v>
      </c>
      <c r="E1089"/>
      <c r="F1089"/>
    </row>
    <row r="1090" spans="1:6">
      <c r="A1090" s="87">
        <v>5410</v>
      </c>
      <c r="E1090"/>
      <c r="F1090"/>
    </row>
    <row r="1091" spans="1:6">
      <c r="A1091" s="87">
        <v>5425</v>
      </c>
      <c r="E1091"/>
      <c r="F1091"/>
    </row>
    <row r="1092" spans="1:6">
      <c r="A1092" s="87">
        <v>5426</v>
      </c>
      <c r="E1092"/>
      <c r="F1092"/>
    </row>
    <row r="1093" spans="1:6">
      <c r="A1093" s="87">
        <v>5432</v>
      </c>
      <c r="E1093"/>
      <c r="F1093"/>
    </row>
    <row r="1094" spans="1:6">
      <c r="A1094" s="87">
        <v>5434</v>
      </c>
      <c r="E1094"/>
      <c r="F1094"/>
    </row>
    <row r="1095" spans="1:6">
      <c r="A1095" s="87">
        <v>5438</v>
      </c>
      <c r="E1095"/>
      <c r="F1095"/>
    </row>
    <row r="1096" spans="1:6">
      <c r="A1096" s="87">
        <v>5439</v>
      </c>
      <c r="E1096"/>
      <c r="F1096"/>
    </row>
    <row r="1097" spans="1:6">
      <c r="A1097" s="87">
        <v>5443</v>
      </c>
      <c r="E1097"/>
      <c r="F1097"/>
    </row>
    <row r="1098" spans="1:6">
      <c r="A1098" s="87">
        <v>5450</v>
      </c>
      <c r="E1098"/>
      <c r="F1098"/>
    </row>
    <row r="1099" spans="1:6">
      <c r="A1099" s="87">
        <v>5452</v>
      </c>
      <c r="E1099"/>
      <c r="F1099"/>
    </row>
    <row r="1100" spans="1:6">
      <c r="A1100" s="87">
        <v>5455</v>
      </c>
      <c r="E1100"/>
      <c r="F1100"/>
    </row>
    <row r="1101" spans="1:6">
      <c r="A1101" s="87">
        <v>5457</v>
      </c>
      <c r="E1101"/>
      <c r="F1101"/>
    </row>
    <row r="1102" spans="1:6">
      <c r="A1102" s="87">
        <v>5460</v>
      </c>
      <c r="E1102"/>
      <c r="F1102"/>
    </row>
    <row r="1103" spans="1:6">
      <c r="A1103" s="87">
        <v>5464</v>
      </c>
      <c r="E1103"/>
      <c r="F1103"/>
    </row>
    <row r="1104" spans="1:6">
      <c r="A1104" s="87">
        <v>5465</v>
      </c>
      <c r="E1104"/>
      <c r="F1104"/>
    </row>
    <row r="1105" spans="1:6">
      <c r="A1105" s="87">
        <v>5466</v>
      </c>
      <c r="E1105"/>
      <c r="F1105"/>
    </row>
    <row r="1106" spans="1:6">
      <c r="A1106" s="87">
        <v>5468</v>
      </c>
      <c r="E1106"/>
      <c r="F1106"/>
    </row>
    <row r="1107" spans="1:6">
      <c r="A1107" s="87">
        <v>5469</v>
      </c>
      <c r="E1107"/>
      <c r="F1107"/>
    </row>
    <row r="1108" spans="1:6">
      <c r="A1108" s="87">
        <v>5471</v>
      </c>
      <c r="E1108"/>
      <c r="F1108"/>
    </row>
    <row r="1109" spans="1:6">
      <c r="A1109" s="87">
        <v>5474</v>
      </c>
      <c r="E1109"/>
      <c r="F1109"/>
    </row>
    <row r="1110" spans="1:6">
      <c r="A1110" s="87">
        <v>5475</v>
      </c>
      <c r="E1110"/>
      <c r="F1110"/>
    </row>
    <row r="1111" spans="1:6">
      <c r="A1111" s="87">
        <v>5478</v>
      </c>
      <c r="E1111"/>
      <c r="F1111"/>
    </row>
    <row r="1112" spans="1:6">
      <c r="A1112" s="87">
        <v>5480</v>
      </c>
      <c r="E1112"/>
      <c r="F1112"/>
    </row>
    <row r="1113" spans="1:6">
      <c r="A1113" s="87">
        <v>5481</v>
      </c>
      <c r="E1113"/>
      <c r="F1113"/>
    </row>
    <row r="1114" spans="1:6">
      <c r="A1114" s="87">
        <v>5483</v>
      </c>
      <c r="E1114"/>
      <c r="F1114"/>
    </row>
    <row r="1115" spans="1:6">
      <c r="A1115" s="87">
        <v>5484</v>
      </c>
      <c r="E1115"/>
      <c r="F1115"/>
    </row>
    <row r="1116" spans="1:6">
      <c r="A1116" s="87">
        <v>5487</v>
      </c>
      <c r="E1116"/>
      <c r="F1116"/>
    </row>
    <row r="1117" spans="1:6">
      <c r="A1117" s="87">
        <v>5488</v>
      </c>
      <c r="E1117"/>
      <c r="F1117"/>
    </row>
    <row r="1118" spans="1:6">
      <c r="A1118" s="87">
        <v>5489</v>
      </c>
      <c r="E1118"/>
      <c r="F1118"/>
    </row>
    <row r="1119" spans="1:6">
      <c r="A1119" s="87">
        <v>5490</v>
      </c>
      <c r="E1119"/>
      <c r="F1119"/>
    </row>
    <row r="1120" spans="1:6">
      <c r="A1120" s="87">
        <v>5491</v>
      </c>
      <c r="E1120"/>
      <c r="F1120"/>
    </row>
    <row r="1121" spans="1:6">
      <c r="A1121" s="87">
        <v>5493</v>
      </c>
      <c r="E1121"/>
      <c r="F1121"/>
    </row>
    <row r="1122" spans="1:6">
      <c r="A1122" s="87">
        <v>5498</v>
      </c>
      <c r="E1122"/>
      <c r="F1122"/>
    </row>
    <row r="1123" spans="1:6">
      <c r="A1123" s="87">
        <v>5505</v>
      </c>
      <c r="E1123"/>
      <c r="F1123"/>
    </row>
    <row r="1124" spans="1:6">
      <c r="A1124" s="87">
        <v>5508</v>
      </c>
      <c r="E1124"/>
      <c r="F1124"/>
    </row>
    <row r="1125" spans="1:6">
      <c r="A1125" s="87">
        <v>5511</v>
      </c>
      <c r="E1125"/>
      <c r="F1125"/>
    </row>
    <row r="1126" spans="1:6">
      <c r="A1126" s="87">
        <v>5512</v>
      </c>
      <c r="E1126"/>
      <c r="F1126"/>
    </row>
    <row r="1127" spans="1:6">
      <c r="A1127" s="87">
        <v>5514</v>
      </c>
      <c r="E1127"/>
      <c r="F1127"/>
    </row>
    <row r="1128" spans="1:6">
      <c r="A1128" s="87">
        <v>5515</v>
      </c>
      <c r="E1128"/>
      <c r="F1128"/>
    </row>
    <row r="1129" spans="1:6">
      <c r="A1129" s="87">
        <v>5516</v>
      </c>
      <c r="E1129"/>
      <c r="F1129"/>
    </row>
    <row r="1130" spans="1:6">
      <c r="A1130" s="87">
        <v>5519</v>
      </c>
      <c r="E1130"/>
      <c r="F1130"/>
    </row>
    <row r="1131" spans="1:6">
      <c r="A1131" s="87">
        <v>5520</v>
      </c>
      <c r="E1131"/>
      <c r="F1131"/>
    </row>
    <row r="1132" spans="1:6">
      <c r="A1132" s="87">
        <v>5521</v>
      </c>
      <c r="E1132"/>
      <c r="F1132"/>
    </row>
    <row r="1133" spans="1:6">
      <c r="A1133" s="87">
        <v>5522</v>
      </c>
      <c r="E1133"/>
      <c r="F1133"/>
    </row>
    <row r="1134" spans="1:6">
      <c r="A1134" s="87">
        <v>5523</v>
      </c>
      <c r="E1134"/>
      <c r="F1134"/>
    </row>
    <row r="1135" spans="1:6">
      <c r="A1135" s="87">
        <v>5525</v>
      </c>
      <c r="E1135"/>
      <c r="F1135"/>
    </row>
    <row r="1136" spans="1:6">
      <c r="A1136" s="87">
        <v>5529</v>
      </c>
      <c r="E1136"/>
      <c r="F1136"/>
    </row>
    <row r="1137" spans="1:6">
      <c r="A1137" s="87">
        <v>5530</v>
      </c>
      <c r="E1137"/>
      <c r="F1137"/>
    </row>
    <row r="1138" spans="1:6">
      <c r="A1138" s="87">
        <v>5531</v>
      </c>
      <c r="E1138"/>
      <c r="F1138"/>
    </row>
    <row r="1139" spans="1:6">
      <c r="A1139" s="87">
        <v>5533</v>
      </c>
      <c r="E1139"/>
      <c r="F1139"/>
    </row>
    <row r="1140" spans="1:6">
      <c r="A1140" s="87">
        <v>5534</v>
      </c>
      <c r="E1140"/>
      <c r="F1140"/>
    </row>
    <row r="1141" spans="1:6">
      <c r="A1141" s="87">
        <v>5536</v>
      </c>
      <c r="E1141"/>
      <c r="F1141"/>
    </row>
    <row r="1142" spans="1:6">
      <c r="A1142" s="87">
        <v>5538</v>
      </c>
      <c r="E1142"/>
      <c r="F1142"/>
    </row>
    <row r="1143" spans="1:6">
      <c r="A1143" s="87">
        <v>5601</v>
      </c>
      <c r="E1143"/>
      <c r="F1143"/>
    </row>
    <row r="1144" spans="1:6">
      <c r="A1144" s="87">
        <v>5603</v>
      </c>
      <c r="E1144"/>
      <c r="F1144"/>
    </row>
    <row r="1145" spans="1:6">
      <c r="A1145" s="87">
        <v>5604</v>
      </c>
      <c r="E1145"/>
      <c r="F1145"/>
    </row>
    <row r="1146" spans="1:6">
      <c r="A1146" s="87">
        <v>5607</v>
      </c>
      <c r="E1146"/>
      <c r="F1146"/>
    </row>
    <row r="1147" spans="1:6">
      <c r="A1147" s="87">
        <v>5608</v>
      </c>
      <c r="E1147"/>
      <c r="F1147"/>
    </row>
    <row r="1148" spans="1:6">
      <c r="A1148" s="87">
        <v>5609</v>
      </c>
      <c r="E1148"/>
      <c r="F1148"/>
    </row>
    <row r="1149" spans="1:6">
      <c r="A1149" s="87">
        <v>5701</v>
      </c>
      <c r="E1149"/>
      <c r="F1149"/>
    </row>
    <row r="1150" spans="1:6">
      <c r="A1150" s="87">
        <v>5703</v>
      </c>
      <c r="E1150"/>
      <c r="F1150"/>
    </row>
    <row r="1151" spans="1:6">
      <c r="A1151" s="87">
        <v>5704</v>
      </c>
      <c r="E1151"/>
      <c r="F1151"/>
    </row>
    <row r="1152" spans="1:6">
      <c r="A1152" s="87">
        <v>5706</v>
      </c>
      <c r="E1152"/>
      <c r="F1152"/>
    </row>
    <row r="1153" spans="1:6">
      <c r="A1153" s="87">
        <v>5820</v>
      </c>
      <c r="E1153"/>
      <c r="F1153"/>
    </row>
    <row r="1154" spans="1:6">
      <c r="A1154" s="87">
        <v>5871</v>
      </c>
      <c r="E1154"/>
      <c r="F1154"/>
    </row>
    <row r="1155" spans="1:6">
      <c r="A1155" s="87">
        <v>5878</v>
      </c>
      <c r="E1155"/>
      <c r="F1155"/>
    </row>
    <row r="1156" spans="1:6">
      <c r="A1156" s="87">
        <v>5880</v>
      </c>
      <c r="E1156"/>
      <c r="F1156"/>
    </row>
    <row r="1157" spans="1:6">
      <c r="A1157" s="87">
        <v>5902</v>
      </c>
      <c r="E1157"/>
      <c r="F1157"/>
    </row>
    <row r="1158" spans="1:6">
      <c r="A1158" s="87">
        <v>5903</v>
      </c>
      <c r="E1158"/>
      <c r="F1158"/>
    </row>
    <row r="1159" spans="1:6">
      <c r="A1159" s="87">
        <v>5904</v>
      </c>
      <c r="E1159"/>
      <c r="F1159"/>
    </row>
    <row r="1160" spans="1:6">
      <c r="A1160" s="87">
        <v>5905</v>
      </c>
      <c r="E1160"/>
      <c r="F1160"/>
    </row>
    <row r="1161" spans="1:6">
      <c r="A1161" s="87">
        <v>5906</v>
      </c>
      <c r="E1161"/>
      <c r="F1161"/>
    </row>
    <row r="1162" spans="1:6">
      <c r="A1162" s="87">
        <v>5907</v>
      </c>
      <c r="E1162"/>
      <c r="F1162"/>
    </row>
    <row r="1163" spans="1:6">
      <c r="A1163" s="87">
        <v>6005</v>
      </c>
      <c r="E1163"/>
      <c r="F1163"/>
    </row>
    <row r="1164" spans="1:6">
      <c r="A1164" s="87">
        <v>6015</v>
      </c>
      <c r="E1164"/>
      <c r="F1164"/>
    </row>
    <row r="1165" spans="1:6">
      <c r="A1165" s="87">
        <v>6016</v>
      </c>
      <c r="E1165"/>
      <c r="F1165"/>
    </row>
    <row r="1166" spans="1:6">
      <c r="A1166" s="87">
        <v>6020</v>
      </c>
      <c r="E1166"/>
      <c r="F1166"/>
    </row>
    <row r="1167" spans="1:6">
      <c r="A1167" s="87">
        <v>6021</v>
      </c>
      <c r="E1167"/>
      <c r="F1167"/>
    </row>
    <row r="1168" spans="1:6">
      <c r="A1168" s="87">
        <v>6022</v>
      </c>
      <c r="E1168"/>
      <c r="F1168"/>
    </row>
    <row r="1169" spans="1:6">
      <c r="A1169" s="87">
        <v>6023</v>
      </c>
      <c r="E1169"/>
      <c r="F1169"/>
    </row>
    <row r="1170" spans="1:6">
      <c r="A1170" s="87">
        <v>6024</v>
      </c>
      <c r="E1170"/>
      <c r="F1170"/>
    </row>
    <row r="1171" spans="1:6">
      <c r="A1171" s="87">
        <v>6101</v>
      </c>
      <c r="E1171"/>
      <c r="F1171"/>
    </row>
    <row r="1172" spans="1:6">
      <c r="A1172" s="87">
        <v>6103</v>
      </c>
      <c r="E1172"/>
      <c r="F1172"/>
    </row>
    <row r="1173" spans="1:6">
      <c r="A1173" s="87">
        <v>6104</v>
      </c>
      <c r="E1173"/>
      <c r="F1173"/>
    </row>
    <row r="1174" spans="1:6">
      <c r="A1174" s="87">
        <v>6105</v>
      </c>
      <c r="E1174"/>
      <c r="F1174"/>
    </row>
    <row r="1175" spans="1:6">
      <c r="A1175" s="87">
        <v>6107</v>
      </c>
      <c r="E1175"/>
      <c r="F1175"/>
    </row>
    <row r="1176" spans="1:6">
      <c r="A1176" s="87">
        <v>6108</v>
      </c>
      <c r="E1176"/>
      <c r="F1176"/>
    </row>
    <row r="1177" spans="1:6">
      <c r="A1177" s="87">
        <v>6109</v>
      </c>
      <c r="E1177"/>
      <c r="F1177"/>
    </row>
    <row r="1178" spans="1:6">
      <c r="A1178" s="87">
        <v>6111</v>
      </c>
      <c r="E1178"/>
      <c r="F1178"/>
    </row>
    <row r="1179" spans="1:6">
      <c r="A1179" s="87">
        <v>6112</v>
      </c>
      <c r="E1179"/>
      <c r="F1179"/>
    </row>
    <row r="1180" spans="1:6">
      <c r="A1180" s="87">
        <v>6113</v>
      </c>
      <c r="E1180"/>
      <c r="F1180"/>
    </row>
    <row r="1181" spans="1:6">
      <c r="A1181" s="87">
        <v>6114</v>
      </c>
      <c r="E1181"/>
      <c r="F1181"/>
    </row>
    <row r="1182" spans="1:6">
      <c r="A1182" s="87">
        <v>6115</v>
      </c>
      <c r="E1182"/>
      <c r="F1182"/>
    </row>
    <row r="1183" spans="1:6">
      <c r="A1183" s="87">
        <v>6116</v>
      </c>
      <c r="E1183"/>
      <c r="F1183"/>
    </row>
    <row r="1184" spans="1:6">
      <c r="A1184" s="87">
        <v>6117</v>
      </c>
      <c r="E1184"/>
      <c r="F1184"/>
    </row>
    <row r="1185" spans="1:6">
      <c r="A1185" s="87">
        <v>6118</v>
      </c>
      <c r="E1185"/>
      <c r="F1185"/>
    </row>
    <row r="1186" spans="1:6">
      <c r="A1186" s="87">
        <v>6120</v>
      </c>
      <c r="E1186"/>
      <c r="F1186"/>
    </row>
    <row r="1187" spans="1:6">
      <c r="A1187" s="87">
        <v>6121</v>
      </c>
      <c r="E1187"/>
      <c r="F1187"/>
    </row>
    <row r="1188" spans="1:6">
      <c r="A1188" s="87">
        <v>6122</v>
      </c>
      <c r="E1188"/>
      <c r="F1188"/>
    </row>
    <row r="1189" spans="1:6">
      <c r="A1189" s="87">
        <v>6123</v>
      </c>
      <c r="E1189"/>
      <c r="F1189"/>
    </row>
    <row r="1190" spans="1:6">
      <c r="A1190" s="87">
        <v>6124</v>
      </c>
      <c r="E1190"/>
      <c r="F1190"/>
    </row>
    <row r="1191" spans="1:6">
      <c r="A1191" s="87">
        <v>6125</v>
      </c>
      <c r="E1191"/>
      <c r="F1191"/>
    </row>
    <row r="1192" spans="1:6">
      <c r="A1192" s="87">
        <v>6126</v>
      </c>
      <c r="E1192"/>
      <c r="F1192"/>
    </row>
    <row r="1193" spans="1:6">
      <c r="A1193" s="87">
        <v>6127</v>
      </c>
      <c r="E1193"/>
      <c r="F1193"/>
    </row>
    <row r="1194" spans="1:6">
      <c r="A1194" s="87">
        <v>6128</v>
      </c>
      <c r="E1194"/>
      <c r="F1194"/>
    </row>
    <row r="1195" spans="1:6">
      <c r="A1195" s="87">
        <v>6129</v>
      </c>
      <c r="E1195"/>
      <c r="F1195"/>
    </row>
    <row r="1196" spans="1:6">
      <c r="A1196" s="87">
        <v>6130</v>
      </c>
      <c r="E1196"/>
      <c r="F1196"/>
    </row>
    <row r="1197" spans="1:6">
      <c r="A1197" s="87">
        <v>6131</v>
      </c>
      <c r="E1197"/>
      <c r="F1197"/>
    </row>
    <row r="1198" spans="1:6">
      <c r="A1198" s="87">
        <v>6133</v>
      </c>
      <c r="E1198"/>
      <c r="F1198"/>
    </row>
    <row r="1199" spans="1:6">
      <c r="A1199" s="87">
        <v>6134</v>
      </c>
      <c r="E1199"/>
      <c r="F1199"/>
    </row>
    <row r="1200" spans="1:6">
      <c r="A1200" s="87">
        <v>6135</v>
      </c>
      <c r="E1200"/>
      <c r="F1200"/>
    </row>
    <row r="1201" spans="1:6">
      <c r="A1201" s="87">
        <v>6136</v>
      </c>
      <c r="E1201"/>
      <c r="F1201"/>
    </row>
    <row r="1202" spans="1:6">
      <c r="A1202" s="87">
        <v>6138</v>
      </c>
      <c r="E1202"/>
      <c r="F1202"/>
    </row>
    <row r="1203" spans="1:6">
      <c r="A1203" s="87">
        <v>6139</v>
      </c>
      <c r="E1203"/>
      <c r="F1203"/>
    </row>
    <row r="1204" spans="1:6">
      <c r="A1204" s="87">
        <v>6140</v>
      </c>
      <c r="E1204"/>
      <c r="F1204"/>
    </row>
    <row r="1205" spans="1:6">
      <c r="A1205" s="87">
        <v>6141</v>
      </c>
      <c r="E1205"/>
      <c r="F1205"/>
    </row>
    <row r="1206" spans="1:6">
      <c r="A1206" s="87">
        <v>6142</v>
      </c>
      <c r="E1206"/>
      <c r="F1206"/>
    </row>
    <row r="1207" spans="1:6">
      <c r="A1207" s="87">
        <v>6143</v>
      </c>
      <c r="E1207"/>
      <c r="F1207"/>
    </row>
    <row r="1208" spans="1:6">
      <c r="A1208" s="87">
        <v>6144</v>
      </c>
      <c r="E1208"/>
      <c r="F1208"/>
    </row>
    <row r="1209" spans="1:6">
      <c r="A1209" s="87">
        <v>6145</v>
      </c>
      <c r="E1209"/>
      <c r="F1209"/>
    </row>
    <row r="1210" spans="1:6">
      <c r="A1210" s="87">
        <v>6146</v>
      </c>
      <c r="E1210"/>
      <c r="F1210"/>
    </row>
    <row r="1211" spans="1:6">
      <c r="A1211" s="87">
        <v>6147</v>
      </c>
      <c r="E1211"/>
      <c r="F1211"/>
    </row>
    <row r="1212" spans="1:6">
      <c r="A1212" s="87">
        <v>6148</v>
      </c>
      <c r="E1212"/>
      <c r="F1212"/>
    </row>
    <row r="1213" spans="1:6">
      <c r="A1213" s="87">
        <v>6150</v>
      </c>
      <c r="E1213"/>
      <c r="F1213"/>
    </row>
    <row r="1214" spans="1:6">
      <c r="A1214" s="87">
        <v>6151</v>
      </c>
      <c r="E1214"/>
      <c r="F1214"/>
    </row>
    <row r="1215" spans="1:6">
      <c r="A1215" s="87">
        <v>6152</v>
      </c>
      <c r="E1215"/>
      <c r="F1215"/>
    </row>
    <row r="1216" spans="1:6">
      <c r="A1216" s="87">
        <v>6153</v>
      </c>
      <c r="E1216"/>
      <c r="F1216"/>
    </row>
    <row r="1217" spans="1:6">
      <c r="A1217" s="87">
        <v>6154</v>
      </c>
      <c r="E1217"/>
      <c r="F1217"/>
    </row>
    <row r="1218" spans="1:6">
      <c r="A1218" s="87">
        <v>6155</v>
      </c>
      <c r="E1218"/>
      <c r="F1218"/>
    </row>
    <row r="1219" spans="1:6">
      <c r="A1219" s="87">
        <v>6156</v>
      </c>
      <c r="E1219"/>
      <c r="F1219"/>
    </row>
    <row r="1220" spans="1:6">
      <c r="A1220" s="87">
        <v>6158</v>
      </c>
      <c r="E1220"/>
      <c r="F1220"/>
    </row>
    <row r="1221" spans="1:6">
      <c r="A1221" s="87">
        <v>6160</v>
      </c>
      <c r="E1221"/>
      <c r="F1221"/>
    </row>
    <row r="1222" spans="1:6">
      <c r="A1222" s="87">
        <v>6161</v>
      </c>
      <c r="E1222"/>
      <c r="F1222"/>
    </row>
    <row r="1223" spans="1:6">
      <c r="A1223" s="87">
        <v>6163</v>
      </c>
      <c r="E1223"/>
      <c r="F1223"/>
    </row>
    <row r="1224" spans="1:6">
      <c r="A1224" s="87">
        <v>6164</v>
      </c>
      <c r="E1224"/>
      <c r="F1224"/>
    </row>
    <row r="1225" spans="1:6">
      <c r="A1225" s="87">
        <v>6165</v>
      </c>
      <c r="E1225"/>
      <c r="F1225"/>
    </row>
    <row r="1226" spans="1:6">
      <c r="A1226" s="87">
        <v>6166</v>
      </c>
      <c r="E1226"/>
      <c r="F1226"/>
    </row>
    <row r="1227" spans="1:6">
      <c r="A1227" s="87">
        <v>6167</v>
      </c>
      <c r="E1227"/>
      <c r="F1227"/>
    </row>
    <row r="1228" spans="1:6">
      <c r="A1228" s="87">
        <v>6168</v>
      </c>
      <c r="E1228"/>
      <c r="F1228"/>
    </row>
    <row r="1229" spans="1:6">
      <c r="A1229" s="87">
        <v>6169</v>
      </c>
      <c r="E1229"/>
      <c r="F1229"/>
    </row>
    <row r="1230" spans="1:6">
      <c r="A1230" s="87">
        <v>6170</v>
      </c>
      <c r="E1230"/>
      <c r="F1230"/>
    </row>
    <row r="1231" spans="1:6">
      <c r="A1231" s="87">
        <v>6171</v>
      </c>
      <c r="E1231"/>
      <c r="F1231"/>
    </row>
    <row r="1232" spans="1:6">
      <c r="A1232" s="87">
        <v>6172</v>
      </c>
      <c r="E1232"/>
      <c r="F1232"/>
    </row>
    <row r="1233" spans="1:6">
      <c r="A1233" s="87">
        <v>6173</v>
      </c>
      <c r="E1233"/>
      <c r="F1233"/>
    </row>
    <row r="1234" spans="1:6">
      <c r="A1234" s="87">
        <v>6174</v>
      </c>
      <c r="E1234"/>
      <c r="F1234"/>
    </row>
    <row r="1235" spans="1:6">
      <c r="A1235" s="87">
        <v>6175</v>
      </c>
      <c r="E1235"/>
      <c r="F1235"/>
    </row>
    <row r="1236" spans="1:6">
      <c r="A1236" s="87">
        <v>6176</v>
      </c>
      <c r="E1236"/>
      <c r="F1236"/>
    </row>
    <row r="1237" spans="1:6">
      <c r="A1237" s="87">
        <v>6177</v>
      </c>
      <c r="E1237"/>
      <c r="F1237"/>
    </row>
    <row r="1238" spans="1:6">
      <c r="A1238" s="87">
        <v>6179</v>
      </c>
      <c r="E1238"/>
      <c r="F1238"/>
    </row>
    <row r="1239" spans="1:6">
      <c r="A1239" s="87">
        <v>6180</v>
      </c>
      <c r="E1239"/>
      <c r="F1239"/>
    </row>
    <row r="1240" spans="1:6">
      <c r="A1240" s="87">
        <v>6182</v>
      </c>
      <c r="E1240"/>
      <c r="F1240"/>
    </row>
    <row r="1241" spans="1:6">
      <c r="A1241" s="87">
        <v>6183</v>
      </c>
      <c r="E1241"/>
      <c r="F1241"/>
    </row>
    <row r="1242" spans="1:6">
      <c r="A1242" s="87">
        <v>6184</v>
      </c>
      <c r="E1242"/>
      <c r="F1242"/>
    </row>
    <row r="1243" spans="1:6">
      <c r="A1243" s="87">
        <v>6185</v>
      </c>
      <c r="E1243"/>
      <c r="F1243"/>
    </row>
    <row r="1244" spans="1:6">
      <c r="A1244" s="87">
        <v>6186</v>
      </c>
      <c r="E1244"/>
      <c r="F1244"/>
    </row>
    <row r="1245" spans="1:6">
      <c r="A1245" s="87">
        <v>6187</v>
      </c>
      <c r="E1245"/>
      <c r="F1245"/>
    </row>
    <row r="1246" spans="1:6">
      <c r="A1246" s="87">
        <v>6188</v>
      </c>
      <c r="E1246"/>
      <c r="F1246"/>
    </row>
    <row r="1247" spans="1:6">
      <c r="A1247" s="87">
        <v>6189</v>
      </c>
      <c r="E1247"/>
      <c r="F1247"/>
    </row>
    <row r="1248" spans="1:6">
      <c r="A1248" s="87">
        <v>6190</v>
      </c>
      <c r="E1248"/>
      <c r="F1248"/>
    </row>
    <row r="1249" spans="1:6">
      <c r="A1249" s="87">
        <v>6191</v>
      </c>
      <c r="E1249"/>
      <c r="F1249"/>
    </row>
    <row r="1250" spans="1:6">
      <c r="A1250" s="87">
        <v>6192</v>
      </c>
      <c r="E1250"/>
      <c r="F1250"/>
    </row>
    <row r="1251" spans="1:6">
      <c r="A1251" s="87">
        <v>6194</v>
      </c>
      <c r="E1251"/>
      <c r="F1251"/>
    </row>
    <row r="1252" spans="1:6">
      <c r="A1252" s="87">
        <v>6195</v>
      </c>
      <c r="E1252"/>
      <c r="F1252"/>
    </row>
    <row r="1253" spans="1:6">
      <c r="A1253" s="87">
        <v>6196</v>
      </c>
      <c r="E1253"/>
      <c r="F1253"/>
    </row>
    <row r="1254" spans="1:6">
      <c r="A1254" s="87">
        <v>6197</v>
      </c>
      <c r="E1254"/>
      <c r="F1254"/>
    </row>
    <row r="1255" spans="1:6">
      <c r="A1255" s="87">
        <v>6198</v>
      </c>
      <c r="E1255"/>
      <c r="F1255"/>
    </row>
    <row r="1256" spans="1:6">
      <c r="A1256" s="87">
        <v>6199</v>
      </c>
      <c r="E1256"/>
      <c r="F1256"/>
    </row>
    <row r="1257" spans="1:6">
      <c r="A1257" s="87">
        <v>6201</v>
      </c>
      <c r="E1257"/>
      <c r="F1257"/>
    </row>
    <row r="1258" spans="1:6">
      <c r="A1258" s="87">
        <v>6202</v>
      </c>
      <c r="E1258"/>
      <c r="F1258"/>
    </row>
    <row r="1259" spans="1:6">
      <c r="A1259" s="87">
        <v>6203</v>
      </c>
      <c r="E1259"/>
      <c r="F1259"/>
    </row>
    <row r="1260" spans="1:6">
      <c r="A1260" s="87">
        <v>6204</v>
      </c>
      <c r="E1260"/>
      <c r="F1260"/>
    </row>
    <row r="1261" spans="1:6">
      <c r="A1261" s="87">
        <v>6205</v>
      </c>
      <c r="E1261"/>
      <c r="F1261"/>
    </row>
    <row r="1262" spans="1:6">
      <c r="A1262" s="87">
        <v>6206</v>
      </c>
      <c r="E1262"/>
      <c r="F1262"/>
    </row>
    <row r="1263" spans="1:6">
      <c r="A1263" s="87">
        <v>6207</v>
      </c>
      <c r="E1263"/>
      <c r="F1263"/>
    </row>
    <row r="1264" spans="1:6">
      <c r="A1264" s="87">
        <v>6208</v>
      </c>
      <c r="E1264"/>
      <c r="F1264"/>
    </row>
    <row r="1265" spans="1:6">
      <c r="A1265" s="87">
        <v>6209</v>
      </c>
      <c r="E1265"/>
      <c r="F1265"/>
    </row>
    <row r="1266" spans="1:6">
      <c r="A1266" s="87">
        <v>6210</v>
      </c>
      <c r="E1266"/>
      <c r="F1266"/>
    </row>
    <row r="1267" spans="1:6">
      <c r="A1267" s="87">
        <v>6211</v>
      </c>
      <c r="E1267"/>
      <c r="F1267"/>
    </row>
    <row r="1268" spans="1:6">
      <c r="A1268" s="87">
        <v>6212</v>
      </c>
      <c r="E1268"/>
      <c r="F1268"/>
    </row>
    <row r="1269" spans="1:6">
      <c r="A1269" s="87">
        <v>6213</v>
      </c>
      <c r="E1269"/>
      <c r="F1269"/>
    </row>
    <row r="1270" spans="1:6">
      <c r="A1270" s="87">
        <v>6214</v>
      </c>
      <c r="E1270"/>
      <c r="F1270"/>
    </row>
    <row r="1271" spans="1:6">
      <c r="A1271" s="87">
        <v>6215</v>
      </c>
      <c r="E1271"/>
      <c r="F1271"/>
    </row>
    <row r="1272" spans="1:6">
      <c r="A1272" s="87">
        <v>6216</v>
      </c>
      <c r="E1272"/>
      <c r="F1272"/>
    </row>
    <row r="1273" spans="1:6">
      <c r="A1273" s="87">
        <v>6217</v>
      </c>
      <c r="E1273"/>
      <c r="F1273"/>
    </row>
    <row r="1274" spans="1:6">
      <c r="A1274" s="87">
        <v>6218</v>
      </c>
      <c r="E1274"/>
      <c r="F1274"/>
    </row>
    <row r="1275" spans="1:6">
      <c r="A1275" s="87">
        <v>6219</v>
      </c>
      <c r="E1275"/>
      <c r="F1275"/>
    </row>
    <row r="1276" spans="1:6">
      <c r="A1276" s="87">
        <v>6220</v>
      </c>
      <c r="E1276"/>
      <c r="F1276"/>
    </row>
    <row r="1277" spans="1:6">
      <c r="A1277" s="87">
        <v>6221</v>
      </c>
      <c r="E1277"/>
      <c r="F1277"/>
    </row>
    <row r="1278" spans="1:6">
      <c r="A1278" s="87">
        <v>6222</v>
      </c>
      <c r="E1278"/>
      <c r="F1278"/>
    </row>
    <row r="1279" spans="1:6">
      <c r="A1279" s="87">
        <v>6223</v>
      </c>
      <c r="E1279"/>
      <c r="F1279"/>
    </row>
    <row r="1280" spans="1:6">
      <c r="A1280" s="87">
        <v>6224</v>
      </c>
      <c r="E1280"/>
      <c r="F1280"/>
    </row>
    <row r="1281" spans="1:6">
      <c r="A1281" s="87">
        <v>6225</v>
      </c>
      <c r="E1281"/>
      <c r="F1281"/>
    </row>
    <row r="1282" spans="1:6">
      <c r="A1282" s="87">
        <v>6226</v>
      </c>
      <c r="E1282"/>
      <c r="F1282"/>
    </row>
    <row r="1283" spans="1:6">
      <c r="A1283" s="87">
        <v>6227</v>
      </c>
      <c r="E1283"/>
      <c r="F1283"/>
    </row>
    <row r="1284" spans="1:6">
      <c r="A1284" s="87">
        <v>6228</v>
      </c>
      <c r="E1284"/>
      <c r="F1284"/>
    </row>
    <row r="1285" spans="1:6">
      <c r="A1285" s="87">
        <v>6229</v>
      </c>
      <c r="E1285"/>
      <c r="F1285"/>
    </row>
    <row r="1286" spans="1:6">
      <c r="A1286" s="87">
        <v>6230</v>
      </c>
      <c r="E1286"/>
      <c r="F1286"/>
    </row>
    <row r="1287" spans="1:6">
      <c r="A1287" s="87">
        <v>6231</v>
      </c>
      <c r="E1287"/>
      <c r="F1287"/>
    </row>
    <row r="1288" spans="1:6">
      <c r="A1288" s="87">
        <v>6233</v>
      </c>
      <c r="E1288"/>
      <c r="F1288"/>
    </row>
    <row r="1289" spans="1:6">
      <c r="A1289" s="87">
        <v>6234</v>
      </c>
      <c r="E1289"/>
      <c r="F1289"/>
    </row>
    <row r="1290" spans="1:6">
      <c r="A1290" s="87">
        <v>6235</v>
      </c>
      <c r="E1290"/>
      <c r="F1290"/>
    </row>
    <row r="1291" spans="1:6">
      <c r="A1291" s="87">
        <v>6236</v>
      </c>
      <c r="E1291"/>
      <c r="F1291"/>
    </row>
    <row r="1292" spans="1:6">
      <c r="A1292" s="87">
        <v>6237</v>
      </c>
      <c r="E1292"/>
      <c r="F1292"/>
    </row>
    <row r="1293" spans="1:6">
      <c r="A1293" s="87">
        <v>6238</v>
      </c>
      <c r="E1293"/>
      <c r="F1293"/>
    </row>
    <row r="1294" spans="1:6">
      <c r="A1294" s="87">
        <v>6239</v>
      </c>
      <c r="E1294"/>
      <c r="F1294"/>
    </row>
    <row r="1295" spans="1:6">
      <c r="A1295" s="87">
        <v>6240</v>
      </c>
      <c r="E1295"/>
      <c r="F1295"/>
    </row>
    <row r="1296" spans="1:6">
      <c r="A1296" s="87">
        <v>6241</v>
      </c>
      <c r="E1296"/>
      <c r="F1296"/>
    </row>
    <row r="1297" spans="1:6">
      <c r="A1297" s="87">
        <v>6243</v>
      </c>
      <c r="E1297"/>
      <c r="F1297"/>
    </row>
    <row r="1298" spans="1:6">
      <c r="A1298" s="87">
        <v>6244</v>
      </c>
      <c r="E1298"/>
      <c r="F1298"/>
    </row>
    <row r="1299" spans="1:6">
      <c r="A1299" s="87">
        <v>6245</v>
      </c>
      <c r="E1299"/>
      <c r="F1299"/>
    </row>
    <row r="1300" spans="1:6">
      <c r="A1300" s="87">
        <v>6246</v>
      </c>
      <c r="E1300"/>
      <c r="F1300"/>
    </row>
    <row r="1301" spans="1:6">
      <c r="A1301" s="87">
        <v>6247</v>
      </c>
      <c r="E1301"/>
      <c r="F1301"/>
    </row>
    <row r="1302" spans="1:6">
      <c r="A1302" s="87">
        <v>6248</v>
      </c>
      <c r="E1302"/>
      <c r="F1302"/>
    </row>
    <row r="1303" spans="1:6">
      <c r="A1303" s="87">
        <v>6250</v>
      </c>
      <c r="E1303"/>
      <c r="F1303"/>
    </row>
    <row r="1304" spans="1:6">
      <c r="A1304" s="87">
        <v>6251</v>
      </c>
      <c r="E1304"/>
      <c r="F1304"/>
    </row>
    <row r="1305" spans="1:6">
      <c r="A1305" s="87">
        <v>6257</v>
      </c>
      <c r="E1305"/>
      <c r="F1305"/>
    </row>
    <row r="1306" spans="1:6">
      <c r="A1306" s="87">
        <v>6259</v>
      </c>
      <c r="E1306"/>
      <c r="F1306"/>
    </row>
    <row r="1307" spans="1:6">
      <c r="A1307" s="87">
        <v>6261</v>
      </c>
      <c r="E1307"/>
      <c r="F1307"/>
    </row>
    <row r="1308" spans="1:6">
      <c r="A1308" s="87">
        <v>6263</v>
      </c>
      <c r="E1308"/>
      <c r="F1308"/>
    </row>
    <row r="1309" spans="1:6">
      <c r="A1309" s="87">
        <v>6264</v>
      </c>
      <c r="E1309"/>
      <c r="F1309"/>
    </row>
    <row r="1310" spans="1:6">
      <c r="A1310" s="87">
        <v>6265</v>
      </c>
      <c r="E1310"/>
      <c r="F1310"/>
    </row>
    <row r="1311" spans="1:6">
      <c r="A1311" s="87">
        <v>6266</v>
      </c>
      <c r="E1311"/>
      <c r="F1311"/>
    </row>
    <row r="1312" spans="1:6">
      <c r="A1312" s="87">
        <v>6269</v>
      </c>
      <c r="E1312"/>
      <c r="F1312"/>
    </row>
    <row r="1313" spans="1:6">
      <c r="A1313" s="87">
        <v>6270</v>
      </c>
      <c r="E1313"/>
      <c r="F1313"/>
    </row>
    <row r="1314" spans="1:6">
      <c r="A1314" s="87">
        <v>6271</v>
      </c>
      <c r="E1314"/>
      <c r="F1314"/>
    </row>
    <row r="1315" spans="1:6">
      <c r="A1315" s="87">
        <v>6274</v>
      </c>
      <c r="E1315"/>
      <c r="F1315"/>
    </row>
    <row r="1316" spans="1:6">
      <c r="A1316" s="87">
        <v>6275</v>
      </c>
      <c r="E1316"/>
      <c r="F1316"/>
    </row>
    <row r="1317" spans="1:6">
      <c r="A1317" s="87">
        <v>6276</v>
      </c>
      <c r="E1317"/>
      <c r="F1317"/>
    </row>
    <row r="1318" spans="1:6">
      <c r="A1318" s="87">
        <v>6277</v>
      </c>
      <c r="E1318"/>
      <c r="F1318"/>
    </row>
    <row r="1319" spans="1:6">
      <c r="A1319" s="87">
        <v>6278</v>
      </c>
      <c r="E1319"/>
      <c r="F1319"/>
    </row>
    <row r="1320" spans="1:6">
      <c r="A1320" s="87">
        <v>6279</v>
      </c>
      <c r="E1320"/>
      <c r="F1320"/>
    </row>
    <row r="1321" spans="1:6">
      <c r="A1321" s="87">
        <v>6281</v>
      </c>
      <c r="E1321"/>
      <c r="F1321"/>
    </row>
    <row r="1322" spans="1:6">
      <c r="A1322" s="87">
        <v>6282</v>
      </c>
      <c r="E1322"/>
      <c r="F1322"/>
    </row>
    <row r="1323" spans="1:6">
      <c r="A1323" s="87">
        <v>6283</v>
      </c>
      <c r="E1323"/>
      <c r="F1323"/>
    </row>
    <row r="1324" spans="1:6">
      <c r="A1324" s="87">
        <v>6284</v>
      </c>
      <c r="E1324"/>
      <c r="F1324"/>
    </row>
    <row r="1325" spans="1:6">
      <c r="A1325" s="87">
        <v>6285</v>
      </c>
      <c r="E1325"/>
      <c r="F1325"/>
    </row>
    <row r="1326" spans="1:6">
      <c r="A1326" s="87">
        <v>6286</v>
      </c>
      <c r="E1326"/>
      <c r="F1326"/>
    </row>
    <row r="1327" spans="1:6">
      <c r="A1327" s="87">
        <v>6287</v>
      </c>
      <c r="E1327"/>
      <c r="F1327"/>
    </row>
    <row r="1328" spans="1:6">
      <c r="A1328" s="87">
        <v>6289</v>
      </c>
      <c r="E1328"/>
      <c r="F1328"/>
    </row>
    <row r="1329" spans="1:6">
      <c r="A1329" s="87">
        <v>6290</v>
      </c>
      <c r="E1329"/>
      <c r="F1329"/>
    </row>
    <row r="1330" spans="1:6">
      <c r="A1330" s="87">
        <v>6291</v>
      </c>
      <c r="E1330"/>
      <c r="F1330"/>
    </row>
    <row r="1331" spans="1:6">
      <c r="A1331" s="87">
        <v>6292</v>
      </c>
      <c r="E1331"/>
      <c r="F1331"/>
    </row>
    <row r="1332" spans="1:6">
      <c r="A1332" s="87">
        <v>6294</v>
      </c>
      <c r="E1332"/>
      <c r="F1332"/>
    </row>
    <row r="1333" spans="1:6">
      <c r="A1333" s="87">
        <v>6298</v>
      </c>
      <c r="E1333"/>
      <c r="F1333"/>
    </row>
    <row r="1334" spans="1:6">
      <c r="A1334" s="87">
        <v>6404</v>
      </c>
      <c r="E1334"/>
      <c r="F1334"/>
    </row>
    <row r="1335" spans="1:6">
      <c r="A1335" s="87">
        <v>6405</v>
      </c>
      <c r="E1335"/>
      <c r="F1335"/>
    </row>
    <row r="1336" spans="1:6">
      <c r="A1336" s="87">
        <v>6409</v>
      </c>
      <c r="E1336"/>
      <c r="F1336"/>
    </row>
    <row r="1337" spans="1:6">
      <c r="A1337" s="87">
        <v>6411</v>
      </c>
      <c r="E1337"/>
      <c r="F1337"/>
    </row>
    <row r="1338" spans="1:6">
      <c r="A1338" s="87">
        <v>6412</v>
      </c>
      <c r="E1338"/>
      <c r="F1338"/>
    </row>
    <row r="1339" spans="1:6">
      <c r="A1339" s="87">
        <v>6414</v>
      </c>
      <c r="E1339"/>
      <c r="F1339"/>
    </row>
    <row r="1340" spans="1:6">
      <c r="A1340" s="87">
        <v>6415</v>
      </c>
      <c r="E1340"/>
      <c r="F1340"/>
    </row>
    <row r="1341" spans="1:6">
      <c r="A1341" s="87">
        <v>6419</v>
      </c>
      <c r="E1341"/>
      <c r="F1341"/>
    </row>
    <row r="1342" spans="1:6">
      <c r="A1342" s="87">
        <v>6422</v>
      </c>
      <c r="E1342"/>
      <c r="F1342"/>
    </row>
    <row r="1343" spans="1:6">
      <c r="A1343" s="87">
        <v>6426</v>
      </c>
      <c r="E1343"/>
      <c r="F1343"/>
    </row>
    <row r="1344" spans="1:6">
      <c r="A1344" s="87">
        <v>6431</v>
      </c>
      <c r="E1344"/>
      <c r="F1344"/>
    </row>
    <row r="1345" spans="1:6">
      <c r="A1345" s="87">
        <v>6449</v>
      </c>
      <c r="E1345"/>
      <c r="F1345"/>
    </row>
    <row r="1346" spans="1:6">
      <c r="A1346" s="87">
        <v>6451</v>
      </c>
      <c r="E1346"/>
      <c r="F1346"/>
    </row>
    <row r="1347" spans="1:6">
      <c r="A1347" s="87">
        <v>6452</v>
      </c>
      <c r="E1347"/>
      <c r="F1347"/>
    </row>
    <row r="1348" spans="1:6">
      <c r="A1348" s="87">
        <v>6504</v>
      </c>
      <c r="E1348"/>
      <c r="F1348"/>
    </row>
    <row r="1349" spans="1:6">
      <c r="A1349" s="87">
        <v>6505</v>
      </c>
      <c r="E1349"/>
      <c r="F1349"/>
    </row>
    <row r="1350" spans="1:6">
      <c r="A1350" s="87">
        <v>6506</v>
      </c>
      <c r="E1350"/>
      <c r="F1350"/>
    </row>
    <row r="1351" spans="1:6">
      <c r="A1351" s="87">
        <v>6508</v>
      </c>
      <c r="E1351"/>
      <c r="F1351"/>
    </row>
    <row r="1352" spans="1:6">
      <c r="A1352" s="87">
        <v>6509</v>
      </c>
      <c r="E1352"/>
      <c r="F1352"/>
    </row>
    <row r="1353" spans="1:6">
      <c r="A1353" s="87">
        <v>6603</v>
      </c>
      <c r="E1353"/>
      <c r="F1353"/>
    </row>
    <row r="1354" spans="1:6">
      <c r="A1354" s="87">
        <v>6605</v>
      </c>
      <c r="E1354"/>
      <c r="F1354"/>
    </row>
    <row r="1355" spans="1:6">
      <c r="A1355" s="87">
        <v>6609</v>
      </c>
      <c r="E1355"/>
      <c r="F1355"/>
    </row>
    <row r="1356" spans="1:6">
      <c r="A1356" s="87">
        <v>6702</v>
      </c>
      <c r="E1356"/>
      <c r="F1356"/>
    </row>
    <row r="1357" spans="1:6">
      <c r="A1357" s="87">
        <v>6803</v>
      </c>
      <c r="E1357"/>
      <c r="F1357"/>
    </row>
    <row r="1358" spans="1:6">
      <c r="A1358" s="87">
        <v>8011</v>
      </c>
      <c r="E1358"/>
      <c r="F1358"/>
    </row>
    <row r="1359" spans="1:6">
      <c r="A1359" s="87">
        <v>8016</v>
      </c>
      <c r="E1359"/>
      <c r="F1359"/>
    </row>
    <row r="1360" spans="1:6">
      <c r="A1360" s="87">
        <v>8021</v>
      </c>
      <c r="E1360"/>
      <c r="F1360"/>
    </row>
    <row r="1361" spans="1:6">
      <c r="A1361" s="87">
        <v>8024</v>
      </c>
      <c r="E1361"/>
      <c r="F1361"/>
    </row>
    <row r="1362" spans="1:6">
      <c r="A1362" s="87">
        <v>8032</v>
      </c>
      <c r="E1362"/>
      <c r="F1362"/>
    </row>
    <row r="1363" spans="1:6">
      <c r="A1363" s="87">
        <v>8033</v>
      </c>
      <c r="E1363"/>
      <c r="F1363"/>
    </row>
    <row r="1364" spans="1:6">
      <c r="A1364" s="87">
        <v>8034</v>
      </c>
      <c r="E1364"/>
      <c r="F1364"/>
    </row>
    <row r="1365" spans="1:6">
      <c r="A1365" s="87">
        <v>8038</v>
      </c>
      <c r="E1365"/>
      <c r="F1365"/>
    </row>
    <row r="1366" spans="1:6">
      <c r="A1366" s="87">
        <v>8039</v>
      </c>
      <c r="E1366"/>
      <c r="F1366"/>
    </row>
    <row r="1367" spans="1:6">
      <c r="A1367" s="87">
        <v>8040</v>
      </c>
      <c r="E1367"/>
      <c r="F1367"/>
    </row>
    <row r="1368" spans="1:6">
      <c r="A1368" s="87">
        <v>8042</v>
      </c>
      <c r="E1368"/>
      <c r="F1368"/>
    </row>
    <row r="1369" spans="1:6">
      <c r="A1369" s="87">
        <v>8043</v>
      </c>
      <c r="E1369"/>
      <c r="F1369"/>
    </row>
    <row r="1370" spans="1:6">
      <c r="A1370" s="87">
        <v>8044</v>
      </c>
      <c r="E1370"/>
      <c r="F1370"/>
    </row>
    <row r="1371" spans="1:6">
      <c r="A1371" s="87">
        <v>8046</v>
      </c>
      <c r="E1371"/>
      <c r="F1371"/>
    </row>
    <row r="1372" spans="1:6">
      <c r="A1372" s="87">
        <v>8047</v>
      </c>
      <c r="E1372"/>
      <c r="F1372"/>
    </row>
    <row r="1373" spans="1:6">
      <c r="A1373" s="87">
        <v>8048</v>
      </c>
      <c r="E1373"/>
      <c r="F1373"/>
    </row>
    <row r="1374" spans="1:6">
      <c r="A1374" s="87">
        <v>8049</v>
      </c>
      <c r="E1374"/>
      <c r="F1374"/>
    </row>
    <row r="1375" spans="1:6">
      <c r="A1375" s="87">
        <v>8050</v>
      </c>
      <c r="E1375"/>
      <c r="F1375"/>
    </row>
    <row r="1376" spans="1:6">
      <c r="A1376" s="87">
        <v>8053</v>
      </c>
      <c r="E1376"/>
      <c r="F1376"/>
    </row>
    <row r="1377" spans="1:6">
      <c r="A1377" s="87">
        <v>8054</v>
      </c>
      <c r="E1377"/>
      <c r="F1377"/>
    </row>
    <row r="1378" spans="1:6">
      <c r="A1378" s="87">
        <v>8059</v>
      </c>
      <c r="E1378"/>
      <c r="F1378"/>
    </row>
    <row r="1379" spans="1:6">
      <c r="A1379" s="87">
        <v>8064</v>
      </c>
      <c r="E1379"/>
      <c r="F1379"/>
    </row>
    <row r="1380" spans="1:6">
      <c r="A1380" s="87">
        <v>8066</v>
      </c>
      <c r="E1380"/>
      <c r="F1380"/>
    </row>
    <row r="1381" spans="1:6">
      <c r="A1381" s="87">
        <v>8067</v>
      </c>
      <c r="E1381"/>
      <c r="F1381"/>
    </row>
    <row r="1382" spans="1:6">
      <c r="A1382" s="87">
        <v>8068</v>
      </c>
      <c r="E1382"/>
      <c r="F1382"/>
    </row>
    <row r="1383" spans="1:6">
      <c r="A1383" s="87">
        <v>8069</v>
      </c>
      <c r="E1383"/>
      <c r="F1383"/>
    </row>
    <row r="1384" spans="1:6">
      <c r="A1384" s="87">
        <v>8070</v>
      </c>
      <c r="E1384"/>
      <c r="F1384"/>
    </row>
    <row r="1385" spans="1:6">
      <c r="A1385" s="87">
        <v>8071</v>
      </c>
      <c r="E1385"/>
      <c r="F1385"/>
    </row>
    <row r="1386" spans="1:6">
      <c r="A1386" s="87">
        <v>8072</v>
      </c>
      <c r="E1386"/>
      <c r="F1386"/>
    </row>
    <row r="1387" spans="1:6">
      <c r="A1387" s="87">
        <v>8074</v>
      </c>
      <c r="E1387"/>
      <c r="F1387"/>
    </row>
    <row r="1388" spans="1:6">
      <c r="A1388" s="87">
        <v>8076</v>
      </c>
      <c r="E1388"/>
      <c r="F1388"/>
    </row>
    <row r="1389" spans="1:6">
      <c r="A1389" s="87">
        <v>8077</v>
      </c>
      <c r="E1389"/>
      <c r="F1389"/>
    </row>
    <row r="1390" spans="1:6">
      <c r="A1390" s="87">
        <v>8079</v>
      </c>
      <c r="E1390"/>
      <c r="F1390"/>
    </row>
    <row r="1391" spans="1:6">
      <c r="A1391" s="87">
        <v>8080</v>
      </c>
      <c r="E1391"/>
      <c r="F1391"/>
    </row>
    <row r="1392" spans="1:6">
      <c r="A1392" s="87">
        <v>8081</v>
      </c>
      <c r="E1392"/>
      <c r="F1392"/>
    </row>
    <row r="1393" spans="1:6">
      <c r="A1393" s="87">
        <v>8082</v>
      </c>
      <c r="E1393"/>
      <c r="F1393"/>
    </row>
    <row r="1394" spans="1:6">
      <c r="A1394" s="87">
        <v>8083</v>
      </c>
      <c r="E1394"/>
      <c r="F1394"/>
    </row>
    <row r="1395" spans="1:6">
      <c r="A1395" s="87">
        <v>8084</v>
      </c>
      <c r="E1395"/>
      <c r="F1395"/>
    </row>
    <row r="1396" spans="1:6">
      <c r="A1396" s="87">
        <v>8085</v>
      </c>
      <c r="E1396"/>
      <c r="F1396"/>
    </row>
    <row r="1397" spans="1:6">
      <c r="A1397" s="87">
        <v>8086</v>
      </c>
      <c r="E1397"/>
      <c r="F1397"/>
    </row>
    <row r="1398" spans="1:6">
      <c r="A1398" s="87">
        <v>8087</v>
      </c>
      <c r="E1398"/>
      <c r="F1398"/>
    </row>
    <row r="1399" spans="1:6">
      <c r="A1399" s="87">
        <v>8088</v>
      </c>
      <c r="E1399"/>
      <c r="F1399"/>
    </row>
    <row r="1400" spans="1:6">
      <c r="A1400" s="87">
        <v>8091</v>
      </c>
      <c r="E1400"/>
      <c r="F1400"/>
    </row>
    <row r="1401" spans="1:6">
      <c r="A1401" s="87">
        <v>8092</v>
      </c>
      <c r="E1401"/>
      <c r="F1401"/>
    </row>
    <row r="1402" spans="1:6">
      <c r="A1402" s="87">
        <v>8093</v>
      </c>
      <c r="E1402"/>
      <c r="F1402"/>
    </row>
    <row r="1403" spans="1:6">
      <c r="A1403" s="87">
        <v>8096</v>
      </c>
      <c r="E1403"/>
      <c r="F1403"/>
    </row>
    <row r="1404" spans="1:6">
      <c r="A1404" s="87">
        <v>8097</v>
      </c>
      <c r="E1404"/>
      <c r="F1404"/>
    </row>
    <row r="1405" spans="1:6">
      <c r="A1405" s="87">
        <v>8099</v>
      </c>
      <c r="E1405"/>
      <c r="F1405"/>
    </row>
    <row r="1406" spans="1:6">
      <c r="A1406" s="87">
        <v>8101</v>
      </c>
      <c r="E1406"/>
      <c r="F1406"/>
    </row>
    <row r="1407" spans="1:6">
      <c r="A1407" s="87">
        <v>8103</v>
      </c>
      <c r="E1407"/>
      <c r="F1407"/>
    </row>
    <row r="1408" spans="1:6">
      <c r="A1408" s="87">
        <v>8105</v>
      </c>
      <c r="E1408"/>
      <c r="F1408"/>
    </row>
    <row r="1409" spans="1:6">
      <c r="A1409" s="87">
        <v>8107</v>
      </c>
      <c r="E1409"/>
      <c r="F1409"/>
    </row>
    <row r="1410" spans="1:6">
      <c r="A1410" s="87">
        <v>8109</v>
      </c>
      <c r="E1410"/>
      <c r="F1410"/>
    </row>
    <row r="1411" spans="1:6">
      <c r="A1411" s="87">
        <v>8110</v>
      </c>
      <c r="E1411"/>
      <c r="F1411"/>
    </row>
    <row r="1412" spans="1:6">
      <c r="A1412" s="87">
        <v>8111</v>
      </c>
      <c r="E1412"/>
      <c r="F1412"/>
    </row>
    <row r="1413" spans="1:6">
      <c r="A1413" s="87">
        <v>8112</v>
      </c>
      <c r="E1413"/>
      <c r="F1413"/>
    </row>
    <row r="1414" spans="1:6">
      <c r="A1414" s="87">
        <v>8114</v>
      </c>
      <c r="E1414"/>
      <c r="F1414"/>
    </row>
    <row r="1415" spans="1:6">
      <c r="A1415" s="87">
        <v>8121</v>
      </c>
      <c r="E1415"/>
      <c r="F1415"/>
    </row>
    <row r="1416" spans="1:6">
      <c r="A1416" s="87">
        <v>8131</v>
      </c>
      <c r="E1416"/>
      <c r="F1416"/>
    </row>
    <row r="1417" spans="1:6">
      <c r="A1417" s="87">
        <v>8147</v>
      </c>
      <c r="E1417"/>
      <c r="F1417"/>
    </row>
    <row r="1418" spans="1:6">
      <c r="A1418" s="87">
        <v>8150</v>
      </c>
      <c r="E1418"/>
      <c r="F1418"/>
    </row>
    <row r="1419" spans="1:6">
      <c r="A1419" s="87">
        <v>8155</v>
      </c>
      <c r="E1419"/>
      <c r="F1419"/>
    </row>
    <row r="1420" spans="1:6">
      <c r="A1420" s="87">
        <v>8163</v>
      </c>
      <c r="E1420"/>
      <c r="F1420"/>
    </row>
    <row r="1421" spans="1:6">
      <c r="A1421" s="87">
        <v>8171</v>
      </c>
      <c r="E1421"/>
      <c r="F1421"/>
    </row>
    <row r="1422" spans="1:6">
      <c r="A1422" s="87">
        <v>8176</v>
      </c>
      <c r="E1422"/>
      <c r="F1422"/>
    </row>
    <row r="1423" spans="1:6">
      <c r="A1423" s="87">
        <v>8182</v>
      </c>
      <c r="E1423"/>
      <c r="F1423"/>
    </row>
    <row r="1424" spans="1:6">
      <c r="A1424" s="87">
        <v>8183</v>
      </c>
      <c r="E1424"/>
      <c r="F1424"/>
    </row>
    <row r="1425" spans="1:6">
      <c r="A1425" s="87">
        <v>8201</v>
      </c>
      <c r="E1425"/>
      <c r="F1425"/>
    </row>
    <row r="1426" spans="1:6">
      <c r="A1426" s="87">
        <v>8210</v>
      </c>
      <c r="E1426"/>
      <c r="F1426"/>
    </row>
    <row r="1427" spans="1:6">
      <c r="A1427" s="87">
        <v>8213</v>
      </c>
      <c r="E1427"/>
      <c r="F1427"/>
    </row>
    <row r="1428" spans="1:6">
      <c r="A1428" s="87">
        <v>8215</v>
      </c>
      <c r="E1428"/>
      <c r="F1428"/>
    </row>
    <row r="1429" spans="1:6">
      <c r="A1429" s="87">
        <v>8222</v>
      </c>
      <c r="E1429"/>
      <c r="F1429"/>
    </row>
    <row r="1430" spans="1:6">
      <c r="A1430" s="87">
        <v>8234</v>
      </c>
      <c r="E1430"/>
      <c r="F1430"/>
    </row>
    <row r="1431" spans="1:6">
      <c r="A1431" s="87">
        <v>8240</v>
      </c>
      <c r="E1431"/>
      <c r="F1431"/>
    </row>
    <row r="1432" spans="1:6">
      <c r="A1432" s="87">
        <v>8249</v>
      </c>
      <c r="E1432"/>
      <c r="F1432"/>
    </row>
    <row r="1433" spans="1:6">
      <c r="A1433" s="87">
        <v>8255</v>
      </c>
      <c r="E1433"/>
      <c r="F1433"/>
    </row>
    <row r="1434" spans="1:6">
      <c r="A1434" s="87">
        <v>8261</v>
      </c>
      <c r="E1434"/>
      <c r="F1434"/>
    </row>
    <row r="1435" spans="1:6">
      <c r="A1435" s="87">
        <v>8266</v>
      </c>
      <c r="E1435"/>
      <c r="F1435"/>
    </row>
    <row r="1436" spans="1:6">
      <c r="A1436" s="87">
        <v>8271</v>
      </c>
      <c r="E1436"/>
      <c r="F1436"/>
    </row>
    <row r="1437" spans="1:6">
      <c r="A1437" s="87">
        <v>8277</v>
      </c>
      <c r="E1437"/>
      <c r="F1437"/>
    </row>
    <row r="1438" spans="1:6">
      <c r="A1438" s="87">
        <v>8287</v>
      </c>
      <c r="E1438"/>
      <c r="F1438"/>
    </row>
    <row r="1439" spans="1:6">
      <c r="A1439" s="87">
        <v>8289</v>
      </c>
      <c r="E1439"/>
      <c r="F1439"/>
    </row>
    <row r="1440" spans="1:6">
      <c r="A1440" s="87">
        <v>8291</v>
      </c>
      <c r="E1440"/>
      <c r="F1440"/>
    </row>
    <row r="1441" spans="1:6">
      <c r="A1441" s="87">
        <v>8299</v>
      </c>
      <c r="E1441"/>
      <c r="F1441"/>
    </row>
    <row r="1442" spans="1:6">
      <c r="A1442" s="87">
        <v>8341</v>
      </c>
      <c r="E1442"/>
      <c r="F1442"/>
    </row>
    <row r="1443" spans="1:6">
      <c r="A1443" s="87">
        <v>8349</v>
      </c>
      <c r="E1443"/>
      <c r="F1443"/>
    </row>
    <row r="1444" spans="1:6">
      <c r="A1444" s="87">
        <v>8354</v>
      </c>
      <c r="E1444"/>
      <c r="F1444"/>
    </row>
    <row r="1445" spans="1:6">
      <c r="A1445" s="87">
        <v>8358</v>
      </c>
      <c r="E1445"/>
      <c r="F1445"/>
    </row>
    <row r="1446" spans="1:6">
      <c r="A1446" s="87">
        <v>8374</v>
      </c>
      <c r="E1446"/>
      <c r="F1446"/>
    </row>
    <row r="1447" spans="1:6">
      <c r="A1447" s="87">
        <v>8383</v>
      </c>
      <c r="E1447"/>
      <c r="F1447"/>
    </row>
    <row r="1448" spans="1:6">
      <c r="A1448" s="87">
        <v>8390</v>
      </c>
      <c r="E1448"/>
      <c r="F1448"/>
    </row>
    <row r="1449" spans="1:6">
      <c r="A1449" s="87">
        <v>8401</v>
      </c>
      <c r="E1449"/>
      <c r="F1449"/>
    </row>
    <row r="1450" spans="1:6">
      <c r="A1450" s="87">
        <v>8403</v>
      </c>
      <c r="E1450"/>
      <c r="F1450"/>
    </row>
    <row r="1451" spans="1:6">
      <c r="A1451" s="87">
        <v>8404</v>
      </c>
      <c r="E1451"/>
      <c r="F1451"/>
    </row>
    <row r="1452" spans="1:6">
      <c r="A1452" s="87">
        <v>8406</v>
      </c>
      <c r="E1452"/>
      <c r="F1452"/>
    </row>
    <row r="1453" spans="1:6">
      <c r="A1453" s="87">
        <v>8409</v>
      </c>
      <c r="E1453"/>
      <c r="F1453"/>
    </row>
    <row r="1454" spans="1:6">
      <c r="A1454" s="87">
        <v>8410</v>
      </c>
      <c r="E1454"/>
      <c r="F1454"/>
    </row>
    <row r="1455" spans="1:6">
      <c r="A1455" s="87">
        <v>8411</v>
      </c>
      <c r="E1455"/>
      <c r="F1455"/>
    </row>
    <row r="1456" spans="1:6">
      <c r="A1456" s="87">
        <v>8416</v>
      </c>
      <c r="E1456"/>
      <c r="F1456"/>
    </row>
    <row r="1457" spans="1:6">
      <c r="A1457" s="87">
        <v>8418</v>
      </c>
      <c r="E1457"/>
      <c r="F1457"/>
    </row>
    <row r="1458" spans="1:6">
      <c r="A1458" s="87">
        <v>8420</v>
      </c>
      <c r="E1458"/>
      <c r="F1458"/>
    </row>
    <row r="1459" spans="1:6">
      <c r="A1459" s="87">
        <v>8421</v>
      </c>
      <c r="E1459"/>
      <c r="F1459"/>
    </row>
    <row r="1460" spans="1:6">
      <c r="A1460" s="87">
        <v>8422</v>
      </c>
      <c r="E1460"/>
      <c r="F1460"/>
    </row>
    <row r="1461" spans="1:6">
      <c r="A1461" s="87">
        <v>8423</v>
      </c>
      <c r="E1461"/>
      <c r="F1461"/>
    </row>
    <row r="1462" spans="1:6">
      <c r="A1462" s="87">
        <v>8424</v>
      </c>
      <c r="E1462"/>
      <c r="F1462"/>
    </row>
    <row r="1463" spans="1:6">
      <c r="A1463" s="87">
        <v>8426</v>
      </c>
      <c r="E1463"/>
      <c r="F1463"/>
    </row>
    <row r="1464" spans="1:6">
      <c r="A1464" s="87">
        <v>8427</v>
      </c>
      <c r="E1464"/>
      <c r="F1464"/>
    </row>
    <row r="1465" spans="1:6">
      <c r="A1465" s="87">
        <v>8429</v>
      </c>
      <c r="E1465"/>
      <c r="F1465"/>
    </row>
    <row r="1466" spans="1:6">
      <c r="A1466" s="87">
        <v>8431</v>
      </c>
      <c r="E1466"/>
      <c r="F1466"/>
    </row>
    <row r="1467" spans="1:6">
      <c r="A1467" s="87">
        <v>8432</v>
      </c>
      <c r="E1467"/>
      <c r="F1467"/>
    </row>
    <row r="1468" spans="1:6">
      <c r="A1468" s="87">
        <v>8433</v>
      </c>
      <c r="E1468"/>
      <c r="F1468"/>
    </row>
    <row r="1469" spans="1:6">
      <c r="A1469" s="87">
        <v>8435</v>
      </c>
      <c r="E1469"/>
      <c r="F1469"/>
    </row>
    <row r="1470" spans="1:6">
      <c r="A1470" s="87">
        <v>8436</v>
      </c>
      <c r="E1470"/>
      <c r="F1470"/>
    </row>
    <row r="1471" spans="1:6">
      <c r="A1471" s="87">
        <v>8443</v>
      </c>
      <c r="E1471"/>
      <c r="F1471"/>
    </row>
    <row r="1472" spans="1:6">
      <c r="A1472" s="87">
        <v>8446</v>
      </c>
      <c r="E1472"/>
    </row>
    <row r="1473" spans="1:5">
      <c r="A1473" s="87">
        <v>8450</v>
      </c>
      <c r="E1473"/>
    </row>
    <row r="1474" spans="1:5">
      <c r="A1474" s="87">
        <v>8454</v>
      </c>
      <c r="E1474"/>
    </row>
    <row r="1475" spans="1:5">
      <c r="A1475" s="87">
        <v>8905</v>
      </c>
      <c r="E1475"/>
    </row>
    <row r="1476" spans="1:5">
      <c r="A1476" s="87">
        <v>8906</v>
      </c>
      <c r="E1476"/>
    </row>
    <row r="1477" spans="1:5">
      <c r="A1477" s="87">
        <v>8908</v>
      </c>
      <c r="E1477"/>
    </row>
    <row r="1478" spans="1:5">
      <c r="A1478" s="87">
        <v>8913</v>
      </c>
      <c r="E1478"/>
    </row>
    <row r="1479" spans="1:5">
      <c r="A1479" s="87">
        <v>8916</v>
      </c>
      <c r="E1479"/>
    </row>
    <row r="1480" spans="1:5">
      <c r="A1480" s="87">
        <v>8917</v>
      </c>
      <c r="E1480"/>
    </row>
    <row r="1481" spans="1:5">
      <c r="A1481" s="87">
        <v>8921</v>
      </c>
      <c r="E1481"/>
    </row>
    <row r="1482" spans="1:5">
      <c r="A1482" s="87">
        <v>8923</v>
      </c>
      <c r="E1482"/>
    </row>
    <row r="1483" spans="1:5">
      <c r="A1483" s="87">
        <v>8924</v>
      </c>
      <c r="E1483"/>
    </row>
    <row r="1484" spans="1:5">
      <c r="A1484" s="87">
        <v>8925</v>
      </c>
      <c r="E1484"/>
    </row>
    <row r="1485" spans="1:5">
      <c r="A1485" s="87">
        <v>8926</v>
      </c>
      <c r="E1485"/>
    </row>
    <row r="1486" spans="1:5">
      <c r="A1486" s="87">
        <v>8927</v>
      </c>
      <c r="E1486"/>
    </row>
    <row r="1487" spans="1:5">
      <c r="A1487" s="87">
        <v>8928</v>
      </c>
      <c r="E1487"/>
    </row>
    <row r="1488" spans="1:5">
      <c r="A1488" s="87">
        <v>8929</v>
      </c>
      <c r="E1488"/>
    </row>
    <row r="1489" spans="1:5">
      <c r="A1489" s="87">
        <v>8930</v>
      </c>
      <c r="E1489"/>
    </row>
    <row r="1490" spans="1:5">
      <c r="A1490" s="87">
        <v>8931</v>
      </c>
      <c r="E1490"/>
    </row>
    <row r="1491" spans="1:5">
      <c r="A1491" s="87">
        <v>8932</v>
      </c>
      <c r="E1491"/>
    </row>
    <row r="1492" spans="1:5">
      <c r="A1492" s="87">
        <v>8933</v>
      </c>
      <c r="E1492"/>
    </row>
    <row r="1493" spans="1:5">
      <c r="A1493" s="87">
        <v>8934</v>
      </c>
      <c r="E1493"/>
    </row>
    <row r="1494" spans="1:5">
      <c r="A1494" s="87">
        <v>8935</v>
      </c>
      <c r="E1494"/>
    </row>
    <row r="1495" spans="1:5">
      <c r="A1495" s="87">
        <v>8936</v>
      </c>
      <c r="E1495"/>
    </row>
    <row r="1496" spans="1:5">
      <c r="A1496" s="87">
        <v>8937</v>
      </c>
      <c r="E1496"/>
    </row>
    <row r="1497" spans="1:5">
      <c r="A1497" s="87">
        <v>8938</v>
      </c>
      <c r="E1497"/>
    </row>
    <row r="1498" spans="1:5">
      <c r="A1498" s="87">
        <v>8940</v>
      </c>
      <c r="E1498"/>
    </row>
    <row r="1499" spans="1:5">
      <c r="A1499" s="87">
        <v>8941</v>
      </c>
      <c r="E1499"/>
    </row>
    <row r="1500" spans="1:5">
      <c r="A1500" s="87">
        <v>8942</v>
      </c>
      <c r="E1500"/>
    </row>
    <row r="1501" spans="1:5">
      <c r="A1501" s="87">
        <v>8996</v>
      </c>
      <c r="E1501"/>
    </row>
    <row r="1502" spans="1:5">
      <c r="A1502" s="87">
        <v>9802</v>
      </c>
      <c r="E1502"/>
    </row>
    <row r="1503" spans="1:5">
      <c r="A1503" s="87">
        <v>9902</v>
      </c>
      <c r="E1503"/>
    </row>
    <row r="1504" spans="1:5">
      <c r="A1504" s="87">
        <v>9904</v>
      </c>
      <c r="E1504"/>
    </row>
    <row r="1505" spans="1:5">
      <c r="A1505" s="87">
        <v>9905</v>
      </c>
      <c r="E1505"/>
    </row>
    <row r="1506" spans="1:5">
      <c r="A1506" s="87">
        <v>9906</v>
      </c>
      <c r="E1506"/>
    </row>
    <row r="1507" spans="1:5">
      <c r="A1507" s="87">
        <v>9907</v>
      </c>
      <c r="E1507"/>
    </row>
    <row r="1508" spans="1:5">
      <c r="A1508" s="87">
        <v>9908</v>
      </c>
      <c r="E1508"/>
    </row>
    <row r="1509" spans="1:5">
      <c r="A1509" s="87">
        <v>9910</v>
      </c>
      <c r="E1509"/>
    </row>
    <row r="1510" spans="1:5">
      <c r="A1510" s="87">
        <v>9911</v>
      </c>
      <c r="E1510"/>
    </row>
    <row r="1511" spans="1:5">
      <c r="A1511" s="87">
        <v>9912</v>
      </c>
      <c r="E1511"/>
    </row>
    <row r="1512" spans="1:5">
      <c r="A1512" s="87">
        <v>9914</v>
      </c>
      <c r="E1512"/>
    </row>
    <row r="1513" spans="1:5">
      <c r="A1513" s="87">
        <v>9917</v>
      </c>
      <c r="E1513"/>
    </row>
    <row r="1514" spans="1:5">
      <c r="A1514" s="87">
        <v>9918</v>
      </c>
      <c r="E1514"/>
    </row>
    <row r="1515" spans="1:5">
      <c r="A1515" s="87">
        <v>9919</v>
      </c>
      <c r="E1515"/>
    </row>
    <row r="1516" spans="1:5">
      <c r="A1516" s="87">
        <v>9921</v>
      </c>
      <c r="E1516"/>
    </row>
    <row r="1517" spans="1:5">
      <c r="A1517" s="87">
        <v>9924</v>
      </c>
      <c r="E1517"/>
    </row>
    <row r="1518" spans="1:5">
      <c r="A1518" s="87">
        <v>9925</v>
      </c>
      <c r="E1518"/>
    </row>
    <row r="1519" spans="1:5">
      <c r="A1519" s="87">
        <v>9926</v>
      </c>
      <c r="E1519"/>
    </row>
    <row r="1520" spans="1:5">
      <c r="A1520" s="87">
        <v>9927</v>
      </c>
      <c r="E1520"/>
    </row>
    <row r="1521" spans="1:5">
      <c r="A1521" s="87">
        <v>9928</v>
      </c>
      <c r="E1521"/>
    </row>
    <row r="1522" spans="1:5">
      <c r="A1522" s="87">
        <v>9929</v>
      </c>
      <c r="E1522"/>
    </row>
    <row r="1523" spans="1:5">
      <c r="A1523" s="87">
        <v>9930</v>
      </c>
      <c r="E1523"/>
    </row>
    <row r="1524" spans="1:5">
      <c r="A1524" s="87">
        <v>9931</v>
      </c>
      <c r="E1524"/>
    </row>
    <row r="1525" spans="1:5">
      <c r="A1525" s="87">
        <v>9933</v>
      </c>
      <c r="E1525"/>
    </row>
    <row r="1526" spans="1:5">
      <c r="A1526" s="87">
        <v>9934</v>
      </c>
      <c r="E1526"/>
    </row>
    <row r="1527" spans="1:5">
      <c r="A1527" s="87">
        <v>9935</v>
      </c>
      <c r="E1527"/>
    </row>
    <row r="1528" spans="1:5">
      <c r="A1528" s="87">
        <v>9937</v>
      </c>
      <c r="E1528"/>
    </row>
    <row r="1529" spans="1:5">
      <c r="A1529" s="87">
        <v>9938</v>
      </c>
      <c r="E1529"/>
    </row>
    <row r="1530" spans="1:5">
      <c r="A1530" s="87">
        <v>9939</v>
      </c>
      <c r="E1530"/>
    </row>
    <row r="1531" spans="1:5">
      <c r="A1531" s="87">
        <v>9940</v>
      </c>
      <c r="E1531"/>
    </row>
    <row r="1532" spans="1:5">
      <c r="A1532" s="87">
        <v>9941</v>
      </c>
      <c r="E1532"/>
    </row>
    <row r="1533" spans="1:5">
      <c r="A1533" s="87">
        <v>9942</v>
      </c>
      <c r="E1533"/>
    </row>
    <row r="1534" spans="1:5">
      <c r="A1534" s="87">
        <v>9943</v>
      </c>
      <c r="E1534"/>
    </row>
    <row r="1535" spans="1:5">
      <c r="A1535" s="87">
        <v>9944</v>
      </c>
      <c r="E1535"/>
    </row>
    <row r="1536" spans="1:5">
      <c r="A1536" s="87">
        <v>9945</v>
      </c>
      <c r="E1536"/>
    </row>
    <row r="1537" spans="1:7">
      <c r="A1537" s="87">
        <v>9946</v>
      </c>
      <c r="E1537"/>
    </row>
    <row r="1538" spans="1:7">
      <c r="A1538" s="87">
        <v>9949</v>
      </c>
      <c r="E1538"/>
    </row>
    <row r="1539" spans="1:7">
      <c r="A1539" s="87">
        <v>9950</v>
      </c>
      <c r="E1539"/>
    </row>
    <row r="1540" spans="1:7">
      <c r="A1540" s="87">
        <v>9951</v>
      </c>
      <c r="E1540"/>
    </row>
    <row r="1541" spans="1:7">
      <c r="A1541" s="87">
        <v>9955</v>
      </c>
      <c r="E1541"/>
    </row>
    <row r="1542" spans="1:7">
      <c r="A1542" s="87">
        <v>9958</v>
      </c>
      <c r="E1542"/>
    </row>
    <row r="1543" spans="1:7">
      <c r="A1543" s="87">
        <v>9960</v>
      </c>
    </row>
    <row r="1544" spans="1:7">
      <c r="A1544" s="87">
        <v>9962</v>
      </c>
      <c r="G1544" s="84"/>
    </row>
  </sheetData>
  <phoneticPr fontId="2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6</xdr:col>
                <xdr:colOff>9525</xdr:colOff>
                <xdr:row>0</xdr:row>
                <xdr:rowOff>9525</xdr:rowOff>
              </from>
              <to>
                <xdr:col>7</xdr:col>
                <xdr:colOff>9525</xdr:colOff>
                <xdr:row>0</xdr:row>
                <xdr:rowOff>323850</xdr:rowOff>
              </to>
            </anchor>
          </controlPr>
        </control>
      </mc:Choice>
      <mc:Fallback>
        <control shapeId="3073" r:id="rId4" name="CommandButton1"/>
      </mc:Fallback>
    </mc:AlternateContent>
    <mc:AlternateContent xmlns:mc="http://schemas.openxmlformats.org/markup-compatibility/2006">
      <mc:Choice Requires="x14">
        <control shapeId="3074" r:id="rId6" name="CommandButton2">
          <controlPr defaultSize="0" autoLine="0" r:id="rId7">
            <anchor moveWithCells="1">
              <from>
                <xdr:col>2</xdr:col>
                <xdr:colOff>0</xdr:colOff>
                <xdr:row>0</xdr:row>
                <xdr:rowOff>19050</xdr:rowOff>
              </from>
              <to>
                <xdr:col>2</xdr:col>
                <xdr:colOff>666750</xdr:colOff>
                <xdr:row>0</xdr:row>
                <xdr:rowOff>266700</xdr:rowOff>
              </to>
            </anchor>
          </controlPr>
        </control>
      </mc:Choice>
      <mc:Fallback>
        <control shapeId="3074" r:id="rId6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64"/>
  <sheetViews>
    <sheetView workbookViewId="0">
      <pane xSplit="10" ySplit="1" topLeftCell="K2" activePane="bottomRight" state="frozen"/>
      <selection activeCell="X29" sqref="X29"/>
      <selection pane="topRight" activeCell="X29" sqref="X29"/>
      <selection pane="bottomLeft" activeCell="X29" sqref="X29"/>
      <selection pane="bottomRight" activeCell="K3" sqref="K3"/>
    </sheetView>
  </sheetViews>
  <sheetFormatPr defaultRowHeight="16.5"/>
  <cols>
    <col min="2" max="2" width="20.5" bestFit="1" customWidth="1"/>
    <col min="3" max="3" width="12.75" bestFit="1" customWidth="1"/>
  </cols>
  <sheetData>
    <row r="1" spans="1:12">
      <c r="A1" t="s">
        <v>306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 t="s">
        <v>307</v>
      </c>
      <c r="L1" t="s">
        <v>307</v>
      </c>
    </row>
    <row r="2" spans="1:12">
      <c r="A2" s="111">
        <v>3706</v>
      </c>
      <c r="B2" s="111" t="s">
        <v>11</v>
      </c>
      <c r="C2" s="111">
        <f>VLOOKUP("營業收入淨額",PKA!$B$1:$L$500,9,0)</f>
        <v>0</v>
      </c>
      <c r="D2" s="111">
        <f>VLOOKUP("營業收入淨額",PKA!$B$1:$L$500,8,0)</f>
        <v>0</v>
      </c>
      <c r="E2" s="111">
        <f>VLOOKUP("營業收入淨額",PKA!$B$1:$L$500,7,0)</f>
        <v>10193</v>
      </c>
      <c r="F2" s="111">
        <f>VLOOKUP("營業收入淨額",PKA!$B$1:$L$500,6,0)</f>
        <v>8499</v>
      </c>
      <c r="G2" s="111">
        <f>VLOOKUP("營業收入淨額",PKA!$B$1:$L$500,5,0)</f>
        <v>11745</v>
      </c>
      <c r="H2" s="111">
        <f>VLOOKUP("營業收入淨額",PKA!$B$1:$L$500,4,0)</f>
        <v>9989</v>
      </c>
      <c r="I2" s="111">
        <f>VLOOKUP("營業收入淨額",PKA!$B$1:$L$500,3,0)</f>
        <v>11827</v>
      </c>
      <c r="J2" s="111">
        <f>VLOOKUP("營業收入淨額",PKA!$B$1:$L$500,2,0)</f>
        <v>13414</v>
      </c>
      <c r="K2" s="111">
        <f>MIN(C2:J4)</f>
        <v>0</v>
      </c>
      <c r="L2" s="111">
        <f>MAX(C2:J4)</f>
        <v>13414</v>
      </c>
    </row>
    <row r="3" spans="1:12">
      <c r="A3" s="111">
        <v>3499</v>
      </c>
      <c r="B3" s="111" t="s">
        <v>11</v>
      </c>
      <c r="C3" s="111">
        <f>VLOOKUP("營業收入淨額",PKB!$B$1:$L$500,9,0)</f>
        <v>126</v>
      </c>
      <c r="D3" s="111">
        <f>VLOOKUP("營業收入淨額",PKB!$B$1:$L$500,8,0)</f>
        <v>105</v>
      </c>
      <c r="E3" s="111">
        <f>VLOOKUP("營業收入淨額",PKB!$B$1:$L$500,7,0)</f>
        <v>109</v>
      </c>
      <c r="F3" s="111">
        <f>VLOOKUP("營業收入淨額",PKB!$B$1:$L$500,6,0)</f>
        <v>82</v>
      </c>
      <c r="G3" s="111">
        <f>VLOOKUP("營業收入淨額",PKB!$B$1:$L$500,5,0)</f>
        <v>100</v>
      </c>
      <c r="H3" s="111">
        <f>VLOOKUP("營業收入淨額",PKB!$B$1:$L$500,4,0)</f>
        <v>137</v>
      </c>
      <c r="I3" s="111">
        <f>VLOOKUP("營業收入淨額",PKB!$B$1:$L$500,3,0)</f>
        <v>110</v>
      </c>
      <c r="J3" s="111">
        <f>VLOOKUP("營業收入淨額",PKB!$B$1:$L$500,2,0)</f>
        <v>129</v>
      </c>
      <c r="K3" s="111"/>
      <c r="L3" s="111"/>
    </row>
    <row r="4" spans="1:12">
      <c r="A4" s="111">
        <v>3306</v>
      </c>
      <c r="B4" s="111" t="s">
        <v>11</v>
      </c>
      <c r="C4" s="111">
        <f>VLOOKUP("營業收入淨額",PKC!$B$1:$L$500,9,0)</f>
        <v>260</v>
      </c>
      <c r="D4" s="111">
        <f>VLOOKUP("營業收入淨額",PKC!$B$1:$L$500,8,0)</f>
        <v>413</v>
      </c>
      <c r="E4" s="111">
        <f>VLOOKUP("營業收入淨額",PKC!$B$1:$L$500,7,0)</f>
        <v>473</v>
      </c>
      <c r="F4" s="111">
        <f>VLOOKUP("營業收入淨額",PKC!$B$1:$L$500,6,0)</f>
        <v>332</v>
      </c>
      <c r="G4" s="111">
        <f>VLOOKUP("營業收入淨額",PKC!$B$1:$L$500,5,0)</f>
        <v>284</v>
      </c>
      <c r="H4" s="111">
        <f>VLOOKUP("營業收入淨額",PKC!$B$1:$L$500,4,0)</f>
        <v>399</v>
      </c>
      <c r="I4" s="111">
        <f>VLOOKUP("營業收入淨額",PKC!$B$1:$L$500,3,0)</f>
        <v>368</v>
      </c>
      <c r="J4" s="111">
        <f>VLOOKUP("營業收入淨額",PKC!$B$1:$L$500,2,0)</f>
        <v>288</v>
      </c>
      <c r="K4" s="111"/>
      <c r="L4" s="111"/>
    </row>
    <row r="5" spans="1:12">
      <c r="A5" s="112">
        <v>3706</v>
      </c>
      <c r="B5" s="112" t="s">
        <v>12</v>
      </c>
      <c r="C5" s="112">
        <f>VLOOKUP("營業成本",PKA!$B$1:$L$500,9,0)</f>
        <v>0</v>
      </c>
      <c r="D5" s="112">
        <f>VLOOKUP("營業成本",PKA!$B$1:$L$500,8,0)</f>
        <v>0</v>
      </c>
      <c r="E5" s="112">
        <f>VLOOKUP("營業成本",PKA!$B$1:$L$500,7,0)</f>
        <v>8723</v>
      </c>
      <c r="F5" s="112">
        <f>VLOOKUP("營業成本",PKA!$B$1:$L$500,6,0)</f>
        <v>7310</v>
      </c>
      <c r="G5" s="112">
        <f>VLOOKUP("營業成本",PKA!$B$1:$L$500,5,0)</f>
        <v>10166</v>
      </c>
      <c r="H5" s="112">
        <f>VLOOKUP("營業成本",PKA!$B$1:$L$500,4,0)</f>
        <v>8640</v>
      </c>
      <c r="I5" s="112">
        <f>VLOOKUP("營業成本",PKA!$B$1:$L$500,3,0)</f>
        <v>10241</v>
      </c>
      <c r="J5" s="112">
        <f>VLOOKUP("營業成本",PKA!$B$1:$L$500,2,0)</f>
        <v>11917</v>
      </c>
      <c r="K5" s="112"/>
      <c r="L5" s="112"/>
    </row>
    <row r="6" spans="1:12">
      <c r="A6" s="112">
        <v>3499</v>
      </c>
      <c r="B6" s="112" t="s">
        <v>12</v>
      </c>
      <c r="C6" s="112">
        <f>VLOOKUP("營業成本",PKB!$B$1:$L$500,9,0)</f>
        <v>90</v>
      </c>
      <c r="D6" s="112">
        <f>VLOOKUP("營業成本",PKB!$B$1:$L$500,8,0)</f>
        <v>81</v>
      </c>
      <c r="E6" s="112">
        <f>VLOOKUP("營業成本",PKB!$B$1:$L$500,7,0)</f>
        <v>80</v>
      </c>
      <c r="F6" s="112">
        <f>VLOOKUP("營業成本",PKB!$B$1:$L$500,6,0)</f>
        <v>70</v>
      </c>
      <c r="G6" s="112">
        <f>VLOOKUP("營業成本",PKB!$B$1:$L$500,5,0)</f>
        <v>73</v>
      </c>
      <c r="H6" s="112">
        <f>VLOOKUP("營業成本",PKB!$B$1:$L$500,4,0)</f>
        <v>99</v>
      </c>
      <c r="I6" s="112">
        <f>VLOOKUP("營業成本",PKB!$B$1:$L$500,3,0)</f>
        <v>87</v>
      </c>
      <c r="J6" s="112">
        <f>VLOOKUP("營業成本",PKB!$B$1:$L$500,2,0)</f>
        <v>91</v>
      </c>
      <c r="K6" s="112"/>
      <c r="L6" s="112"/>
    </row>
    <row r="7" spans="1:12">
      <c r="A7" s="112">
        <v>3306</v>
      </c>
      <c r="B7" s="112" t="s">
        <v>12</v>
      </c>
      <c r="C7" s="112">
        <f>VLOOKUP("營業成本",PKC!$B$1:$L$500,9,0)</f>
        <v>204</v>
      </c>
      <c r="D7" s="112">
        <f>VLOOKUP("營業成本",PKC!$B$1:$L$500,8,0)</f>
        <v>322</v>
      </c>
      <c r="E7" s="112">
        <f>VLOOKUP("營業成本",PKC!$B$1:$L$500,7,0)</f>
        <v>350</v>
      </c>
      <c r="F7" s="112">
        <f>VLOOKUP("營業成本",PKC!$B$1:$L$500,6,0)</f>
        <v>255</v>
      </c>
      <c r="G7" s="112">
        <f>VLOOKUP("營業成本",PKC!$B$1:$L$500,5,0)</f>
        <v>218</v>
      </c>
      <c r="H7" s="112">
        <f>VLOOKUP("營業成本",PKC!$B$1:$L$500,4,0)</f>
        <v>309</v>
      </c>
      <c r="I7" s="112">
        <f>VLOOKUP("營業成本",PKC!$B$1:$L$500,3,0)</f>
        <v>289</v>
      </c>
      <c r="J7" s="112">
        <f>VLOOKUP("營業成本",PKC!$B$1:$L$500,2,0)</f>
        <v>225</v>
      </c>
      <c r="K7" s="112"/>
      <c r="L7" s="112"/>
    </row>
    <row r="8" spans="1:12">
      <c r="A8" s="113">
        <v>3706</v>
      </c>
      <c r="B8" s="113" t="s">
        <v>14</v>
      </c>
      <c r="C8" s="113">
        <f>VLOOKUP("本期稅後淨利",PKA!$B$1:$L$500,9,0)</f>
        <v>0</v>
      </c>
      <c r="D8" s="113">
        <f>VLOOKUP("本期稅後淨利",PKA!$B$1:$L$500,8,0)</f>
        <v>0</v>
      </c>
      <c r="E8" s="113">
        <f>VLOOKUP("本期稅後淨利",PKA!$B$1:$L$500,7,0)</f>
        <v>495</v>
      </c>
      <c r="F8" s="113">
        <f>VLOOKUP("本期稅後淨利",PKA!$B$1:$L$500,6,0)</f>
        <v>-38</v>
      </c>
      <c r="G8" s="113">
        <f>VLOOKUP("本期稅後淨利",PKA!$B$1:$L$500,5,0)</f>
        <v>312</v>
      </c>
      <c r="H8" s="113">
        <f>VLOOKUP("本期稅後淨利",PKA!$B$1:$L$500,4,0)</f>
        <v>218</v>
      </c>
      <c r="I8" s="113">
        <f>VLOOKUP("本期稅後淨利",PKA!$B$1:$L$500,3,0)</f>
        <v>269</v>
      </c>
      <c r="J8" s="113">
        <f>VLOOKUP("本期稅後淨利",PKA!$B$1:$L$500,2,0)</f>
        <v>432</v>
      </c>
      <c r="K8" s="113"/>
      <c r="L8" s="113"/>
    </row>
    <row r="9" spans="1:12">
      <c r="A9" s="113">
        <v>3499</v>
      </c>
      <c r="B9" s="113" t="s">
        <v>14</v>
      </c>
      <c r="C9" s="113">
        <f>VLOOKUP("本期稅後淨利",PKB!$B$1:$L$500,9,0)</f>
        <v>-8</v>
      </c>
      <c r="D9" s="113">
        <f>VLOOKUP("本期稅後淨利",PKB!$B$1:$L$500,8,0)</f>
        <v>-44</v>
      </c>
      <c r="E9" s="113">
        <f>VLOOKUP("本期稅後淨利",PKB!$B$1:$L$500,7,0)</f>
        <v>-42</v>
      </c>
      <c r="F9" s="113">
        <f>VLOOKUP("本期稅後淨利",PKB!$B$1:$L$500,6,0)</f>
        <v>-28</v>
      </c>
      <c r="G9" s="113">
        <f>VLOOKUP("本期稅後淨利",PKB!$B$1:$L$500,5,0)</f>
        <v>-14</v>
      </c>
      <c r="H9" s="113">
        <f>VLOOKUP("本期稅後淨利",PKB!$B$1:$L$500,4,0)</f>
        <v>1</v>
      </c>
      <c r="I9" s="113">
        <f>VLOOKUP("本期稅後淨利",PKB!$B$1:$L$500,3,0)</f>
        <v>-1</v>
      </c>
      <c r="J9" s="113">
        <f>VLOOKUP("本期稅後淨利",PKB!$B$1:$L$500,2,0)</f>
        <v>0</v>
      </c>
      <c r="K9" s="113"/>
      <c r="L9" s="113"/>
    </row>
    <row r="10" spans="1:12">
      <c r="A10" s="113">
        <v>3306</v>
      </c>
      <c r="B10" s="113" t="s">
        <v>14</v>
      </c>
      <c r="C10" s="113">
        <f>VLOOKUP("本期稅後淨利",PKC!$B$1:$L$500,9,0)</f>
        <v>26</v>
      </c>
      <c r="D10" s="113">
        <f>VLOOKUP("本期稅後淨利",PKC!$B$1:$L$500,8,0)</f>
        <v>26</v>
      </c>
      <c r="E10" s="113">
        <f>VLOOKUP("本期稅後淨利",PKC!$B$1:$L$500,7,0)</f>
        <v>44</v>
      </c>
      <c r="F10" s="113">
        <f>VLOOKUP("本期稅後淨利",PKC!$B$1:$L$500,6,0)</f>
        <v>18</v>
      </c>
      <c r="G10" s="113">
        <f>VLOOKUP("本期稅後淨利",PKC!$B$1:$L$500,5,0)</f>
        <v>30</v>
      </c>
      <c r="H10" s="113">
        <f>VLOOKUP("本期稅後淨利",PKC!$B$1:$L$500,4,0)</f>
        <v>24</v>
      </c>
      <c r="I10" s="113">
        <f>VLOOKUP("本期稅後淨利",PKC!$B$1:$L$500,3,0)</f>
        <v>12</v>
      </c>
      <c r="J10" s="113">
        <f>VLOOKUP("本期稅後淨利",PKC!$B$1:$L$500,2,0)</f>
        <v>5</v>
      </c>
      <c r="K10" s="113"/>
      <c r="L10" s="113"/>
    </row>
    <row r="11" spans="1:12">
      <c r="A11" s="114">
        <v>3706</v>
      </c>
      <c r="B11" s="114" t="s">
        <v>308</v>
      </c>
      <c r="C11" s="114">
        <f>VLOOKUP("每股盈餘 (元)",PKA!$B$1:$L$500,9,0)</f>
        <v>0</v>
      </c>
      <c r="D11" s="114">
        <f>VLOOKUP("每股盈餘 (元)",PKA!$B$1:$L$500,8,0)</f>
        <v>0</v>
      </c>
      <c r="E11" s="114">
        <f>VLOOKUP("每股盈餘 (元)",PKA!$B$1:$L$500,7,0)</f>
        <v>0.68</v>
      </c>
      <c r="F11" s="114">
        <f>VLOOKUP("每股盈餘 (元)",PKA!$B$1:$L$500,6,0)</f>
        <v>-0.05</v>
      </c>
      <c r="G11" s="114">
        <f>VLOOKUP("每股盈餘 (元)",PKA!$B$1:$L$500,5,0)</f>
        <v>0.42</v>
      </c>
      <c r="H11" s="114">
        <f>VLOOKUP("每股盈餘 (元)",PKA!$B$1:$L$500,4,0)</f>
        <v>0.28999999999999998</v>
      </c>
      <c r="I11" s="114">
        <f>VLOOKUP("每股盈餘 (元)",PKA!$B$1:$L$500,3,0)</f>
        <v>0.36</v>
      </c>
      <c r="J11" s="114">
        <f>VLOOKUP("每股盈餘 (元)",PKA!$B$1:$L$500,2,0)</f>
        <v>0.57999999999999996</v>
      </c>
      <c r="K11" s="114"/>
      <c r="L11" s="114"/>
    </row>
    <row r="12" spans="1:12">
      <c r="A12" s="114">
        <v>3499</v>
      </c>
      <c r="B12" s="114" t="s">
        <v>308</v>
      </c>
      <c r="C12" s="114">
        <f>VLOOKUP("每股盈餘 (元)",PKB!$B$1:$L$500,9,0)</f>
        <v>-0.15</v>
      </c>
      <c r="D12" s="114">
        <f>VLOOKUP("每股盈餘 (元)",PKB!$B$1:$L$500,8,0)</f>
        <v>-0.81</v>
      </c>
      <c r="E12" s="114">
        <f>VLOOKUP("每股盈餘 (元)",PKB!$B$1:$L$500,7,0)</f>
        <v>-0.76</v>
      </c>
      <c r="F12" s="114">
        <f>VLOOKUP("每股盈餘 (元)",PKB!$B$1:$L$500,6,0)</f>
        <v>-0.52</v>
      </c>
      <c r="G12" s="114">
        <f>VLOOKUP("每股盈餘 (元)",PKB!$B$1:$L$500,5,0)</f>
        <v>-0.26</v>
      </c>
      <c r="H12" s="114">
        <f>VLOOKUP("每股盈餘 (元)",PKB!$B$1:$L$500,4,0)</f>
        <v>0.03</v>
      </c>
      <c r="I12" s="114">
        <f>VLOOKUP("每股盈餘 (元)",PKB!$B$1:$L$500,3,0)</f>
        <v>-0.01</v>
      </c>
      <c r="J12" s="114">
        <f>VLOOKUP("每股盈餘 (元)",PKB!$B$1:$L$500,2,0)</f>
        <v>0.01</v>
      </c>
      <c r="K12" s="114"/>
      <c r="L12" s="114"/>
    </row>
    <row r="13" spans="1:12">
      <c r="A13" s="114">
        <v>3306</v>
      </c>
      <c r="B13" s="114" t="s">
        <v>308</v>
      </c>
      <c r="C13" s="114">
        <f>VLOOKUP("每股盈餘 (元)",PKC!$B$1:$L$500,9,0)</f>
        <v>0.51</v>
      </c>
      <c r="D13" s="114">
        <f>VLOOKUP("每股盈餘 (元)",PKC!$B$1:$L$500,8,0)</f>
        <v>0.52</v>
      </c>
      <c r="E13" s="114">
        <f>VLOOKUP("每股盈餘 (元)",PKC!$B$1:$L$500,7,0)</f>
        <v>0.88</v>
      </c>
      <c r="F13" s="114">
        <f>VLOOKUP("每股盈餘 (元)",PKC!$B$1:$L$500,6,0)</f>
        <v>0.35</v>
      </c>
      <c r="G13" s="114">
        <f>VLOOKUP("每股盈餘 (元)",PKC!$B$1:$L$500,5,0)</f>
        <v>0.59</v>
      </c>
      <c r="H13" s="114">
        <f>VLOOKUP("每股盈餘 (元)",PKC!$B$1:$L$500,4,0)</f>
        <v>0.47</v>
      </c>
      <c r="I13" s="114">
        <f>VLOOKUP("每股盈餘 (元)",PKC!$B$1:$L$500,3,0)</f>
        <v>0.24</v>
      </c>
      <c r="J13" s="114">
        <f>VLOOKUP("每股盈餘 (元)",PKC!$B$1:$L$500,2,0)</f>
        <v>0.11</v>
      </c>
      <c r="K13" s="114"/>
      <c r="L13" s="114"/>
    </row>
    <row r="14" spans="1:12">
      <c r="A14" s="115">
        <v>3706</v>
      </c>
      <c r="B14" s="115" t="s">
        <v>265</v>
      </c>
      <c r="C14" s="115">
        <f>VLOOKUP(" 應收帳款及票據",PKA!$B$1:$L$500,9,0)</f>
        <v>0</v>
      </c>
      <c r="D14" s="115">
        <f>VLOOKUP(" 應收帳款及票據",PKA!$B$1:$L$500,8,0)</f>
        <v>4791</v>
      </c>
      <c r="E14" s="115">
        <f>VLOOKUP(" 應收帳款及票據",PKA!$B$1:$L$500,7,0)</f>
        <v>6183</v>
      </c>
      <c r="F14" s="115">
        <f>VLOOKUP(" 應收帳款及票據",PKA!$B$1:$L$500,6,0)</f>
        <v>5171</v>
      </c>
      <c r="G14" s="115">
        <f>VLOOKUP(" 應收帳款及票據",PKA!$B$1:$L$500,5,0)</f>
        <v>6449</v>
      </c>
      <c r="H14" s="115">
        <f>VLOOKUP(" 應收帳款及票據",PKA!$B$1:$L$500,4,0)</f>
        <v>5841</v>
      </c>
      <c r="I14" s="115">
        <f>VLOOKUP(" 應收帳款及票據",PKA!$B$1:$L$500,3,0)</f>
        <v>7763</v>
      </c>
      <c r="J14" s="115">
        <f>VLOOKUP(" 應收帳款及票據",PKA!$B$1:$L$500,2,0)</f>
        <v>9769</v>
      </c>
      <c r="K14" s="115"/>
      <c r="L14" s="115"/>
    </row>
    <row r="15" spans="1:12">
      <c r="A15" s="115">
        <v>3499</v>
      </c>
      <c r="B15" s="115" t="s">
        <v>265</v>
      </c>
      <c r="C15" s="115">
        <f>VLOOKUP(" 應收帳款及票據",PKB!$B$1:$L$500,9,0)</f>
        <v>98</v>
      </c>
      <c r="D15" s="115">
        <f>VLOOKUP(" 應收帳款及票據",PKB!$B$1:$L$500,8,0)</f>
        <v>61</v>
      </c>
      <c r="E15" s="115">
        <f>VLOOKUP(" 應收帳款及票據",PKB!$B$1:$L$500,7,0)</f>
        <v>55</v>
      </c>
      <c r="F15" s="115">
        <f>VLOOKUP(" 應收帳款及票據",PKB!$B$1:$L$500,6,0)</f>
        <v>36</v>
      </c>
      <c r="G15" s="115">
        <f>VLOOKUP(" 應收帳款及票據",PKB!$B$1:$L$500,5,0)</f>
        <v>55</v>
      </c>
      <c r="H15" s="115">
        <f>VLOOKUP(" 應收帳款及票據",PKB!$B$1:$L$500,4,0)</f>
        <v>71</v>
      </c>
      <c r="I15" s="115">
        <f>VLOOKUP(" 應收帳款及票據",PKB!$B$1:$L$500,3,0)</f>
        <v>57</v>
      </c>
      <c r="J15" s="115">
        <f>VLOOKUP(" 應收帳款及票據",PKB!$B$1:$L$500,2,0)</f>
        <v>70</v>
      </c>
      <c r="K15" s="115"/>
      <c r="L15" s="115"/>
    </row>
    <row r="16" spans="1:12">
      <c r="A16" s="115">
        <v>3306</v>
      </c>
      <c r="B16" s="115" t="s">
        <v>265</v>
      </c>
      <c r="C16" s="115">
        <f>VLOOKUP(" 應收帳款及票據",PKC!$B$1:$L$500,9,0)</f>
        <v>128</v>
      </c>
      <c r="D16" s="115">
        <f>VLOOKUP(" 應收帳款及票據",PKC!$B$1:$L$500,8,0)</f>
        <v>211</v>
      </c>
      <c r="E16" s="115">
        <f>VLOOKUP(" 應收帳款及票據",PKC!$B$1:$L$500,7,0)</f>
        <v>166</v>
      </c>
      <c r="F16" s="115">
        <f>VLOOKUP(" 應收帳款及票據",PKC!$B$1:$L$500,6,0)</f>
        <v>95</v>
      </c>
      <c r="G16" s="115">
        <f>VLOOKUP(" 應收帳款及票據",PKC!$B$1:$L$500,5,0)</f>
        <v>113</v>
      </c>
      <c r="H16" s="115">
        <f>VLOOKUP(" 應收帳款及票據",PKC!$B$1:$L$500,4,0)</f>
        <v>134</v>
      </c>
      <c r="I16" s="115">
        <f>VLOOKUP(" 應收帳款及票據",PKC!$B$1:$L$500,3,0)</f>
        <v>96</v>
      </c>
      <c r="J16" s="115">
        <f>VLOOKUP(" 應收帳款及票據",PKC!$B$1:$L$500,2,0)</f>
        <v>92</v>
      </c>
      <c r="K16" s="115"/>
      <c r="L16" s="115"/>
    </row>
    <row r="17" spans="1:12">
      <c r="A17" s="111">
        <v>3706</v>
      </c>
      <c r="B17" s="111" t="s">
        <v>16</v>
      </c>
      <c r="C17" s="111">
        <f>VLOOKUP(" 存貨",PKA!$B$1:$L$500,9,0)</f>
        <v>0</v>
      </c>
      <c r="D17" s="111">
        <f>VLOOKUP(" 存貨",PKA!$B$1:$L$500,8,0)</f>
        <v>6828</v>
      </c>
      <c r="E17" s="111">
        <f>VLOOKUP(" 存貨",PKA!$B$1:$L$500,7,0)</f>
        <v>6522</v>
      </c>
      <c r="F17" s="111">
        <f>VLOOKUP(" 存貨",PKA!$B$1:$L$500,6,0)</f>
        <v>6816</v>
      </c>
      <c r="G17" s="111">
        <f>VLOOKUP(" 存貨",PKA!$B$1:$L$500,5,0)</f>
        <v>6220</v>
      </c>
      <c r="H17" s="111">
        <f>VLOOKUP(" 存貨",PKA!$B$1:$L$500,4,0)</f>
        <v>7416</v>
      </c>
      <c r="I17" s="111">
        <f>VLOOKUP(" 存貨",PKA!$B$1:$L$500,3,0)</f>
        <v>7190</v>
      </c>
      <c r="J17" s="111">
        <f>VLOOKUP(" 存貨",PKA!$B$1:$L$500,2,0)</f>
        <v>8721</v>
      </c>
      <c r="K17" s="111"/>
      <c r="L17" s="111"/>
    </row>
    <row r="18" spans="1:12">
      <c r="A18" s="111">
        <v>3499</v>
      </c>
      <c r="B18" s="111" t="s">
        <v>16</v>
      </c>
      <c r="C18" s="111">
        <f>VLOOKUP(" 存貨",PKB!$B$1:$L$500,9,0)</f>
        <v>157</v>
      </c>
      <c r="D18" s="111">
        <f>VLOOKUP(" 存貨",PKB!$B$1:$L$500,8,0)</f>
        <v>145</v>
      </c>
      <c r="E18" s="111">
        <f>VLOOKUP(" 存貨",PKB!$B$1:$L$500,7,0)</f>
        <v>130</v>
      </c>
      <c r="F18" s="111">
        <f>VLOOKUP(" 存貨",PKB!$B$1:$L$500,6,0)</f>
        <v>116</v>
      </c>
      <c r="G18" s="111">
        <f>VLOOKUP(" 存貨",PKB!$B$1:$L$500,5,0)</f>
        <v>131</v>
      </c>
      <c r="H18" s="111">
        <f>VLOOKUP(" 存貨",PKB!$B$1:$L$500,4,0)</f>
        <v>125</v>
      </c>
      <c r="I18" s="111">
        <f>VLOOKUP(" 存貨",PKB!$B$1:$L$500,3,0)</f>
        <v>113</v>
      </c>
      <c r="J18" s="111">
        <f>VLOOKUP(" 存貨",PKB!$B$1:$L$500,2,0)</f>
        <v>103</v>
      </c>
      <c r="K18" s="111"/>
      <c r="L18" s="111"/>
    </row>
    <row r="19" spans="1:12">
      <c r="A19" s="111">
        <v>3306</v>
      </c>
      <c r="B19" s="111" t="s">
        <v>16</v>
      </c>
      <c r="C19" s="111">
        <f>VLOOKUP(" 存貨",PKC!$B$1:$L$500,9,0)</f>
        <v>73</v>
      </c>
      <c r="D19" s="111">
        <f>VLOOKUP(" 存貨",PKC!$B$1:$L$500,8,0)</f>
        <v>85</v>
      </c>
      <c r="E19" s="111">
        <f>VLOOKUP(" 存貨",PKC!$B$1:$L$500,7,0)</f>
        <v>82</v>
      </c>
      <c r="F19" s="111">
        <f>VLOOKUP(" 存貨",PKC!$B$1:$L$500,6,0)</f>
        <v>89</v>
      </c>
      <c r="G19" s="111">
        <f>VLOOKUP(" 存貨",PKC!$B$1:$L$500,5,0)</f>
        <v>102</v>
      </c>
      <c r="H19" s="111">
        <f>VLOOKUP(" 存貨",PKC!$B$1:$L$500,4,0)</f>
        <v>114</v>
      </c>
      <c r="I19" s="111">
        <f>VLOOKUP(" 存貨",PKC!$B$1:$L$500,3,0)</f>
        <v>76</v>
      </c>
      <c r="J19" s="111">
        <f>VLOOKUP(" 存貨",PKC!$B$1:$L$500,2,0)</f>
        <v>89</v>
      </c>
      <c r="K19" s="111"/>
      <c r="L19" s="111"/>
    </row>
    <row r="20" spans="1:12">
      <c r="A20" s="112">
        <v>3706</v>
      </c>
      <c r="B20" s="112" t="s">
        <v>18</v>
      </c>
      <c r="C20" s="112">
        <f>VLOOKUP("負債總額",PKA!$B$1:$L$500,9,0)</f>
        <v>0</v>
      </c>
      <c r="D20" s="112">
        <f>VLOOKUP("負債總額",PKA!$B$1:$L$500,8,0)</f>
        <v>13228</v>
      </c>
      <c r="E20" s="112">
        <f>VLOOKUP("負債總額",PKA!$B$1:$L$500,7,0)</f>
        <v>13556</v>
      </c>
      <c r="F20" s="112">
        <f>VLOOKUP("負債總額",PKA!$B$1:$L$500,6,0)</f>
        <v>12500</v>
      </c>
      <c r="G20" s="112">
        <f>VLOOKUP("負債總額",PKA!$B$1:$L$500,5,0)</f>
        <v>15870</v>
      </c>
      <c r="H20" s="112">
        <f>VLOOKUP("負債總額",PKA!$B$1:$L$500,4,0)</f>
        <v>15502</v>
      </c>
      <c r="I20" s="112">
        <f>VLOOKUP("負債總額",PKA!$B$1:$L$500,3,0)</f>
        <v>16052</v>
      </c>
      <c r="J20" s="112">
        <f>VLOOKUP("負債總額",PKA!$B$1:$L$500,2,0)</f>
        <v>18861</v>
      </c>
      <c r="K20" s="112"/>
      <c r="L20" s="112"/>
    </row>
    <row r="21" spans="1:12">
      <c r="A21" s="112">
        <v>3499</v>
      </c>
      <c r="B21" s="112" t="s">
        <v>18</v>
      </c>
      <c r="C21" s="112">
        <f>VLOOKUP("負債總額",PKB!$B$1:$L$500,9,0)</f>
        <v>403</v>
      </c>
      <c r="D21" s="112">
        <f>VLOOKUP("負債總額",PKB!$B$1:$L$500,8,0)</f>
        <v>331</v>
      </c>
      <c r="E21" s="112">
        <f>VLOOKUP("負債總額",PKB!$B$1:$L$500,7,0)</f>
        <v>339</v>
      </c>
      <c r="F21" s="112">
        <f>VLOOKUP("負債總額",PKB!$B$1:$L$500,6,0)</f>
        <v>265</v>
      </c>
      <c r="G21" s="112">
        <f>VLOOKUP("負債總額",PKB!$B$1:$L$500,5,0)</f>
        <v>270</v>
      </c>
      <c r="H21" s="112">
        <f>VLOOKUP("負債總額",PKB!$B$1:$L$500,4,0)</f>
        <v>262</v>
      </c>
      <c r="I21" s="112">
        <f>VLOOKUP("負債總額",PKB!$B$1:$L$500,3,0)</f>
        <v>236</v>
      </c>
      <c r="J21" s="112">
        <f>VLOOKUP("負債總額",PKB!$B$1:$L$500,2,0)</f>
        <v>225</v>
      </c>
      <c r="K21" s="112"/>
      <c r="L21" s="112"/>
    </row>
    <row r="22" spans="1:12">
      <c r="A22" s="112">
        <v>3306</v>
      </c>
      <c r="B22" s="112" t="s">
        <v>18</v>
      </c>
      <c r="C22" s="112">
        <f>VLOOKUP("負債總額",PKC!$B$1:$L$500,9,0)</f>
        <v>327</v>
      </c>
      <c r="D22" s="112">
        <f>VLOOKUP("負債總額",PKC!$B$1:$L$500,8,0)</f>
        <v>364</v>
      </c>
      <c r="E22" s="112">
        <f>VLOOKUP("負債總額",PKC!$B$1:$L$500,7,0)</f>
        <v>375</v>
      </c>
      <c r="F22" s="112">
        <f>VLOOKUP("負債總額",PKC!$B$1:$L$500,6,0)</f>
        <v>258</v>
      </c>
      <c r="G22" s="112">
        <f>VLOOKUP("負債總額",PKC!$B$1:$L$500,5,0)</f>
        <v>364</v>
      </c>
      <c r="H22" s="112">
        <f>VLOOKUP("負債總額",PKC!$B$1:$L$500,4,0)</f>
        <v>321</v>
      </c>
      <c r="I22" s="112">
        <f>VLOOKUP("負債總額",PKC!$B$1:$L$500,3,0)</f>
        <v>275</v>
      </c>
      <c r="J22" s="112">
        <f>VLOOKUP("負債總額",PKC!$B$1:$L$500,2,0)</f>
        <v>250</v>
      </c>
      <c r="K22" s="112"/>
      <c r="L22" s="112"/>
    </row>
    <row r="23" spans="1:12">
      <c r="A23" s="113">
        <v>3706</v>
      </c>
      <c r="B23" s="113" t="s">
        <v>19</v>
      </c>
      <c r="C23" s="113">
        <f>VLOOKUP("資產總額",PKA!$B$1:$L$500,9,0)</f>
        <v>0</v>
      </c>
      <c r="D23" s="113">
        <f>VLOOKUP("資產總額",PKA!$B$1:$L$500,8,0)</f>
        <v>42851</v>
      </c>
      <c r="E23" s="113">
        <f>VLOOKUP("資產總額",PKA!$B$1:$L$500,7,0)</f>
        <v>44110</v>
      </c>
      <c r="F23" s="113">
        <f>VLOOKUP("資產總額",PKA!$B$1:$L$500,6,0)</f>
        <v>43417</v>
      </c>
      <c r="G23" s="113">
        <f>VLOOKUP("資產總額",PKA!$B$1:$L$500,5,0)</f>
        <v>46488</v>
      </c>
      <c r="H23" s="113">
        <f>VLOOKUP("資產總額",PKA!$B$1:$L$500,4,0)</f>
        <v>46672</v>
      </c>
      <c r="I23" s="113">
        <f>VLOOKUP("資產總額",PKA!$B$1:$L$500,3,0)</f>
        <v>48204</v>
      </c>
      <c r="J23" s="113">
        <f>VLOOKUP("資產總額",PKA!$B$1:$L$500,2,0)</f>
        <v>51223</v>
      </c>
      <c r="K23" s="113"/>
      <c r="L23" s="113"/>
    </row>
    <row r="24" spans="1:12">
      <c r="A24" s="113">
        <v>3499</v>
      </c>
      <c r="B24" s="113" t="s">
        <v>19</v>
      </c>
      <c r="C24" s="113">
        <f>VLOOKUP("資產總額",PKB!$B$1:$L$500,9,0)</f>
        <v>1155</v>
      </c>
      <c r="D24" s="113">
        <f>VLOOKUP("資產總額",PKB!$B$1:$L$500,8,0)</f>
        <v>1037</v>
      </c>
      <c r="E24" s="113">
        <f>VLOOKUP("資產總額",PKB!$B$1:$L$500,7,0)</f>
        <v>1005</v>
      </c>
      <c r="F24" s="113">
        <f>VLOOKUP("資產總額",PKB!$B$1:$L$500,6,0)</f>
        <v>904</v>
      </c>
      <c r="G24" s="113">
        <f>VLOOKUP("資產總額",PKB!$B$1:$L$500,5,0)</f>
        <v>888</v>
      </c>
      <c r="H24" s="113">
        <f>VLOOKUP("資產總額",PKB!$B$1:$L$500,4,0)</f>
        <v>890</v>
      </c>
      <c r="I24" s="113">
        <f>VLOOKUP("資產總額",PKB!$B$1:$L$500,3,0)</f>
        <v>872</v>
      </c>
      <c r="J24" s="113">
        <f>VLOOKUP("資產總額",PKB!$B$1:$L$500,2,0)</f>
        <v>860</v>
      </c>
      <c r="K24" s="113"/>
      <c r="L24" s="113"/>
    </row>
    <row r="25" spans="1:12">
      <c r="A25" s="113">
        <v>3306</v>
      </c>
      <c r="B25" s="113" t="s">
        <v>19</v>
      </c>
      <c r="C25" s="113">
        <f>VLOOKUP("資產總額",PKC!$B$1:$L$500,9,0)</f>
        <v>1759</v>
      </c>
      <c r="D25" s="113">
        <f>VLOOKUP("資產總額",PKC!$B$1:$L$500,8,0)</f>
        <v>1814</v>
      </c>
      <c r="E25" s="113">
        <f>VLOOKUP("資產總額",PKC!$B$1:$L$500,7,0)</f>
        <v>1917</v>
      </c>
      <c r="F25" s="113">
        <f>VLOOKUP("資產總額",PKC!$B$1:$L$500,6,0)</f>
        <v>1918</v>
      </c>
      <c r="G25" s="113">
        <f>VLOOKUP("資產總額",PKC!$B$1:$L$500,5,0)</f>
        <v>2003</v>
      </c>
      <c r="H25" s="113">
        <f>VLOOKUP("資產總額",PKC!$B$1:$L$500,4,0)</f>
        <v>1905</v>
      </c>
      <c r="I25" s="113">
        <f>VLOOKUP("資產總額",PKC!$B$1:$L$500,3,0)</f>
        <v>1886</v>
      </c>
      <c r="J25" s="113">
        <f>VLOOKUP("資產總額",PKC!$B$1:$L$500,2,0)</f>
        <v>1837</v>
      </c>
      <c r="K25" s="113"/>
      <c r="L25" s="113"/>
    </row>
    <row r="26" spans="1:12">
      <c r="A26" s="114">
        <v>3706</v>
      </c>
      <c r="B26" s="114" t="s">
        <v>309</v>
      </c>
      <c r="C26" s="114">
        <f>VLOOKUP("來自營運之現金流量",PKA!$B$1:$L$500,9,0)</f>
        <v>0</v>
      </c>
      <c r="D26" s="114">
        <f>VLOOKUP("來自營運之現金流量",PKA!$B$1:$L$500,8,0)</f>
        <v>0</v>
      </c>
      <c r="E26" s="114">
        <f>VLOOKUP("來自營運之現金流量",PKA!$B$1:$L$500,7,0)</f>
        <v>327</v>
      </c>
      <c r="F26" s="114">
        <f>VLOOKUP("來自營運之現金流量",PKA!$B$1:$L$500,6,0)</f>
        <v>-918</v>
      </c>
      <c r="G26" s="114">
        <f>VLOOKUP("來自營運之現金流量",PKA!$B$1:$L$500,5,0)</f>
        <v>1221</v>
      </c>
      <c r="H26" s="114">
        <f>VLOOKUP("來自營運之現金流量",PKA!$B$1:$L$500,4,0)</f>
        <v>-104</v>
      </c>
      <c r="I26" s="114">
        <f>VLOOKUP("來自營運之現金流量",PKA!$B$1:$L$500,3,0)</f>
        <v>-569</v>
      </c>
      <c r="J26" s="114">
        <f>VLOOKUP("來自營運之現金流量",PKA!$B$1:$L$500,2,0)</f>
        <v>-1062</v>
      </c>
      <c r="K26" s="114">
        <f>MIN(C26:J28)</f>
        <v>-1062</v>
      </c>
      <c r="L26" s="114">
        <f>MAX(C26:J28)</f>
        <v>1221</v>
      </c>
    </row>
    <row r="27" spans="1:12">
      <c r="A27" s="114">
        <v>3499</v>
      </c>
      <c r="B27" s="114" t="s">
        <v>310</v>
      </c>
      <c r="C27" s="114">
        <f>VLOOKUP("來自營運之現金流量",PKB!$B$1:$L$500,9,0)</f>
        <v>5</v>
      </c>
      <c r="D27" s="114">
        <f>VLOOKUP("來自營運之現金流量",PKB!$B$1:$L$500,8,0)</f>
        <v>19</v>
      </c>
      <c r="E27" s="114">
        <f>VLOOKUP("來自營運之現金流量",PKB!$B$1:$L$500,7,0)</f>
        <v>-6</v>
      </c>
      <c r="F27" s="114">
        <f>VLOOKUP("來自營運之現金流量",PKB!$B$1:$L$500,6,0)</f>
        <v>19</v>
      </c>
      <c r="G27" s="114">
        <f>VLOOKUP("來自營運之現金流量",PKB!$B$1:$L$500,5,0)</f>
        <v>-21</v>
      </c>
      <c r="H27" s="114">
        <f>VLOOKUP("來自營運之現金流量",PKB!$B$1:$L$500,4,0)</f>
        <v>10</v>
      </c>
      <c r="I27" s="114">
        <f>VLOOKUP("來自營運之現金流量",PKB!$B$1:$L$500,3,0)</f>
        <v>13</v>
      </c>
      <c r="J27" s="114">
        <f>VLOOKUP("來自營運之現金流量",PKB!$B$1:$L$500,2,0)</f>
        <v>1</v>
      </c>
      <c r="K27" s="114"/>
      <c r="L27" s="114"/>
    </row>
    <row r="28" spans="1:12">
      <c r="A28" s="114">
        <v>3306</v>
      </c>
      <c r="B28" s="114" t="s">
        <v>310</v>
      </c>
      <c r="C28" s="114">
        <f>VLOOKUP("來自營運之現金流量",PKC!$B$1:$L$500,9,0)</f>
        <v>56</v>
      </c>
      <c r="D28" s="114">
        <f>VLOOKUP("來自營運之現金流量",PKC!$B$1:$L$500,8,0)</f>
        <v>13</v>
      </c>
      <c r="E28" s="114">
        <f>VLOOKUP("來自營運之現金流量",PKC!$B$1:$L$500,7,0)</f>
        <v>96</v>
      </c>
      <c r="F28" s="114">
        <f>VLOOKUP("來自營運之現金流量",PKC!$B$1:$L$500,6,0)</f>
        <v>-85</v>
      </c>
      <c r="G28" s="114">
        <f>VLOOKUP("來自營運之現金流量",PKC!$B$1:$L$500,5,0)</f>
        <v>58</v>
      </c>
      <c r="H28" s="114">
        <f>VLOOKUP("來自營運之現金流量",PKC!$B$1:$L$500,4,0)</f>
        <v>80</v>
      </c>
      <c r="I28" s="114">
        <f>VLOOKUP("來自營運之現金流量",PKC!$B$1:$L$500,3,0)</f>
        <v>114</v>
      </c>
      <c r="J28" s="114">
        <f>VLOOKUP("來自營運之現金流量",PKC!$B$1:$L$500,2,0)</f>
        <v>-69</v>
      </c>
      <c r="K28" s="114"/>
      <c r="L28" s="114"/>
    </row>
    <row r="29" spans="1:12">
      <c r="A29" s="115">
        <v>3706</v>
      </c>
      <c r="B29" s="115" t="s">
        <v>178</v>
      </c>
      <c r="C29" s="115">
        <f>VLOOKUP("投資活動之現金流量",PKA!$B$1:$L$500,9,0)</f>
        <v>0</v>
      </c>
      <c r="D29" s="115">
        <f>VLOOKUP("投資活動之現金流量",PKA!$B$1:$L$500,8,0)</f>
        <v>0</v>
      </c>
      <c r="E29" s="115">
        <f>VLOOKUP("投資活動之現金流量",PKA!$B$1:$L$500,7,0)</f>
        <v>-1453</v>
      </c>
      <c r="F29" s="115">
        <f>VLOOKUP("投資活動之現金流量",PKA!$B$1:$L$500,6,0)</f>
        <v>-19</v>
      </c>
      <c r="G29" s="115">
        <f>VLOOKUP("投資活動之現金流量",PKA!$B$1:$L$500,5,0)</f>
        <v>-206</v>
      </c>
      <c r="H29" s="115">
        <f>VLOOKUP("投資活動之現金流量",PKA!$B$1:$L$500,4,0)</f>
        <v>58</v>
      </c>
      <c r="I29" s="115">
        <f>VLOOKUP("投資活動之現金流量",PKA!$B$1:$L$500,3,0)</f>
        <v>301</v>
      </c>
      <c r="J29" s="115">
        <f>VLOOKUP("投資活動之現金流量",PKA!$B$1:$L$500,2,0)</f>
        <v>230</v>
      </c>
      <c r="K29" s="115"/>
      <c r="L29" s="115"/>
    </row>
    <row r="30" spans="1:12">
      <c r="A30" s="115">
        <v>3499</v>
      </c>
      <c r="B30" s="115" t="s">
        <v>178</v>
      </c>
      <c r="C30" s="115">
        <f>VLOOKUP("投資活動之現金流量",PKB!$B$1:$L$500,9,0)</f>
        <v>-60</v>
      </c>
      <c r="D30" s="115">
        <f>VLOOKUP("投資活動之現金流量",PKB!$B$1:$L$500,8,0)</f>
        <v>32</v>
      </c>
      <c r="E30" s="115">
        <f>VLOOKUP("投資活動之現金流量",PKB!$B$1:$L$500,7,0)</f>
        <v>18</v>
      </c>
      <c r="F30" s="115">
        <f>VLOOKUP("投資活動之現金流量",PKB!$B$1:$L$500,6,0)</f>
        <v>12</v>
      </c>
      <c r="G30" s="115">
        <f>VLOOKUP("投資活動之現金流量",PKB!$B$1:$L$500,5,0)</f>
        <v>-1</v>
      </c>
      <c r="H30" s="115">
        <f>VLOOKUP("投資活動之現金流量",PKB!$B$1:$L$500,4,0)</f>
        <v>-17</v>
      </c>
      <c r="I30" s="115">
        <f>VLOOKUP("投資活動之現金流量",PKB!$B$1:$L$500,3,0)</f>
        <v>13</v>
      </c>
      <c r="J30" s="115">
        <f>VLOOKUP("投資活動之現金流量",PKB!$B$1:$L$500,2,0)</f>
        <v>-1</v>
      </c>
      <c r="K30" s="115"/>
      <c r="L30" s="115"/>
    </row>
    <row r="31" spans="1:12">
      <c r="A31" s="115">
        <v>3306</v>
      </c>
      <c r="B31" s="115" t="s">
        <v>178</v>
      </c>
      <c r="C31" s="115">
        <f>VLOOKUP("投資活動之現金流量",PKC!$B$1:$L$500,9,0)</f>
        <v>-2</v>
      </c>
      <c r="D31" s="115">
        <f>VLOOKUP("投資活動之現金流量",PKC!$B$1:$L$500,8,0)</f>
        <v>-1</v>
      </c>
      <c r="E31" s="115">
        <f>VLOOKUP("投資活動之現金流量",PKC!$B$1:$L$500,7,0)</f>
        <v>-1</v>
      </c>
      <c r="F31" s="115">
        <f>VLOOKUP("投資活動之現金流量",PKC!$B$1:$L$500,6,0)</f>
        <v>-2</v>
      </c>
      <c r="G31" s="115">
        <f>VLOOKUP("投資活動之現金流量",PKC!$B$1:$L$500,5,0)</f>
        <v>-4</v>
      </c>
      <c r="H31" s="115">
        <f>VLOOKUP("投資活動之現金流量",PKC!$B$1:$L$500,4,0)</f>
        <v>-8</v>
      </c>
      <c r="I31" s="115">
        <f>VLOOKUP("投資活動之現金流量",PKC!$B$1:$L$500,3,0)</f>
        <v>-2</v>
      </c>
      <c r="J31" s="115">
        <f>VLOOKUP("投資活動之現金流量",PKC!$B$1:$L$500,2,0)</f>
        <v>-3</v>
      </c>
      <c r="K31" s="115"/>
      <c r="L31" s="115"/>
    </row>
    <row r="32" spans="1:12">
      <c r="A32" s="111">
        <v>3706</v>
      </c>
      <c r="B32" s="111" t="s">
        <v>21</v>
      </c>
      <c r="C32" s="111">
        <f>VLOOKUP(" 固定資產(購置)",PKA!$B$1:$L$500,9,0)</f>
        <v>0</v>
      </c>
      <c r="D32" s="111">
        <f>VLOOKUP(" 固定資產(購置)",PKA!$B$1:$L$500,8,0)</f>
        <v>0</v>
      </c>
      <c r="E32" s="111">
        <f>VLOOKUP(" 固定資產(購置)",PKA!$B$1:$L$500,7,0)</f>
        <v>-113</v>
      </c>
      <c r="F32" s="111">
        <f>VLOOKUP(" 固定資產(購置)",PKA!$B$1:$L$500,6,0)</f>
        <v>-54</v>
      </c>
      <c r="G32" s="111">
        <f>VLOOKUP(" 固定資產(購置)",PKA!$B$1:$L$500,5,0)</f>
        <v>-199</v>
      </c>
      <c r="H32" s="111">
        <f>VLOOKUP(" 固定資產(購置)",PKA!$B$1:$L$500,4,0)</f>
        <v>-89</v>
      </c>
      <c r="I32" s="111">
        <f>VLOOKUP(" 固定資產(購置)",PKA!$B$1:$L$500,3,0)</f>
        <v>-110</v>
      </c>
      <c r="J32" s="111">
        <f>VLOOKUP(" 固定資產(購置)",PKA!$B$1:$L$500,2,0)</f>
        <v>-102</v>
      </c>
      <c r="K32" s="111"/>
      <c r="L32" s="111"/>
    </row>
    <row r="33" spans="1:12">
      <c r="A33" s="111">
        <v>3499</v>
      </c>
      <c r="B33" s="111" t="s">
        <v>21</v>
      </c>
      <c r="C33" s="111">
        <f>VLOOKUP(" 固定資產(購置)",PKB!$B$1:$L$500,9,0)</f>
        <v>-2</v>
      </c>
      <c r="D33" s="111">
        <f>VLOOKUP(" 固定資產(購置)",PKB!$B$1:$L$500,8,0)</f>
        <v>-17</v>
      </c>
      <c r="E33" s="111">
        <f>VLOOKUP(" 固定資產(購置)",PKB!$B$1:$L$500,7,0)</f>
        <v>-2</v>
      </c>
      <c r="F33" s="111">
        <f>VLOOKUP(" 固定資產(購置)",PKB!$B$1:$L$500,6,0)</f>
        <v>-2</v>
      </c>
      <c r="G33" s="111">
        <f>VLOOKUP(" 固定資產(購置)",PKB!$B$1:$L$500,5,0)</f>
        <v>-2</v>
      </c>
      <c r="H33" s="111">
        <f>VLOOKUP(" 固定資產(購置)",PKB!$B$1:$L$500,4,0)</f>
        <v>-2</v>
      </c>
      <c r="I33" s="111">
        <f>VLOOKUP(" 固定資產(購置)",PKB!$B$1:$L$500,3,0)</f>
        <v>-2</v>
      </c>
      <c r="J33" s="111">
        <f>VLOOKUP(" 固定資產(購置)",PKB!$B$1:$L$500,2,0)</f>
        <v>0</v>
      </c>
      <c r="K33" s="111"/>
      <c r="L33" s="111"/>
    </row>
    <row r="34" spans="1:12">
      <c r="A34" s="111">
        <v>3306</v>
      </c>
      <c r="B34" s="111" t="s">
        <v>21</v>
      </c>
      <c r="C34" s="111">
        <f>VLOOKUP(" 固定資產(購置)",PKC!$B$1:$L$500,9,0)</f>
        <v>-2</v>
      </c>
      <c r="D34" s="111">
        <f>VLOOKUP(" 固定資產(購置)",PKC!$B$1:$L$500,8,0)</f>
        <v>-1</v>
      </c>
      <c r="E34" s="111">
        <f>VLOOKUP(" 固定資產(購置)",PKC!$B$1:$L$500,7,0)</f>
        <v>-1</v>
      </c>
      <c r="F34" s="111">
        <f>VLOOKUP(" 固定資產(購置)",PKC!$B$1:$L$500,6,0)</f>
        <v>-1</v>
      </c>
      <c r="G34" s="111">
        <f>VLOOKUP(" 固定資產(購置)",PKC!$B$1:$L$500,5,0)</f>
        <v>-3</v>
      </c>
      <c r="H34" s="111">
        <f>VLOOKUP(" 固定資產(購置)",PKC!$B$1:$L$500,4,0)</f>
        <v>-2</v>
      </c>
      <c r="I34" s="111">
        <f>VLOOKUP(" 固定資產(購置)",PKC!$B$1:$L$500,3,0)</f>
        <v>-2</v>
      </c>
      <c r="J34" s="111">
        <f>VLOOKUP(" 固定資產(購置)",PKC!$B$1:$L$500,2,0)</f>
        <v>-1</v>
      </c>
      <c r="K34" s="111"/>
      <c r="L34" s="111"/>
    </row>
    <row r="35" spans="1:12">
      <c r="A35" s="112">
        <v>3706</v>
      </c>
      <c r="B35" s="112" t="s">
        <v>22</v>
      </c>
      <c r="C35" s="112">
        <f>VLOOKUP(" 長期投資(新增)",PKA!$B$1:$L$500,9,0)</f>
        <v>0</v>
      </c>
      <c r="D35" s="112">
        <f>VLOOKUP(" 長期投資(新增)",PKA!$B$1:$L$500,8,0)</f>
        <v>0</v>
      </c>
      <c r="E35" s="112">
        <f>VLOOKUP(" 長期投資(新增)",PKA!$B$1:$L$500,7,0)</f>
        <v>0</v>
      </c>
      <c r="F35" s="112">
        <f>VLOOKUP(" 長期投資(新增)",PKA!$B$1:$L$500,6,0)</f>
        <v>0</v>
      </c>
      <c r="G35" s="112">
        <f>VLOOKUP(" 長期投資(新增)",PKA!$B$1:$L$500,5,0)</f>
        <v>0</v>
      </c>
      <c r="H35" s="112">
        <f>VLOOKUP(" 長期投資(新增)",PKA!$B$1:$L$500,4,0)</f>
        <v>-8</v>
      </c>
      <c r="I35" s="112">
        <f>VLOOKUP(" 長期投資(新增)",PKA!$B$1:$L$500,3,0)</f>
        <v>0</v>
      </c>
      <c r="J35" s="112">
        <f>VLOOKUP(" 長期投資(新增)",PKA!$B$1:$L$500,2,0)</f>
        <v>0</v>
      </c>
      <c r="K35" s="112"/>
      <c r="L35" s="112"/>
    </row>
    <row r="36" spans="1:12">
      <c r="A36" s="112">
        <v>3499</v>
      </c>
      <c r="B36" s="112" t="s">
        <v>22</v>
      </c>
      <c r="C36" s="112">
        <f>VLOOKUP(" 長期投資(新增)",PKB!$B$1:$L$500,9,0)</f>
        <v>0</v>
      </c>
      <c r="D36" s="112">
        <f>VLOOKUP(" 長期投資(新增)",PKB!$B$1:$L$500,8,0)</f>
        <v>0</v>
      </c>
      <c r="E36" s="112">
        <f>VLOOKUP(" 長期投資(新增)",PKB!$B$1:$L$500,7,0)</f>
        <v>0</v>
      </c>
      <c r="F36" s="112">
        <f>VLOOKUP(" 長期投資(新增)",PKB!$B$1:$L$500,6,0)</f>
        <v>0</v>
      </c>
      <c r="G36" s="112">
        <f>VLOOKUP(" 長期投資(新增)",PKB!$B$1:$L$500,5,0)</f>
        <v>0</v>
      </c>
      <c r="H36" s="112">
        <f>VLOOKUP(" 長期投資(新增)",PKB!$B$1:$L$500,4,0)</f>
        <v>0</v>
      </c>
      <c r="I36" s="112">
        <f>VLOOKUP(" 長期投資(新增)",PKB!$B$1:$L$500,3,0)</f>
        <v>0</v>
      </c>
      <c r="J36" s="112">
        <f>VLOOKUP(" 長期投資(新增)",PKB!$B$1:$L$500,2,0)</f>
        <v>0</v>
      </c>
      <c r="K36" s="112"/>
      <c r="L36" s="112"/>
    </row>
    <row r="37" spans="1:12">
      <c r="A37" s="112">
        <v>3306</v>
      </c>
      <c r="B37" s="112" t="s">
        <v>22</v>
      </c>
      <c r="C37" s="112">
        <f>VLOOKUP(" 長期投資(新增)",PKC!$B$1:$L$500,9,0)</f>
        <v>0</v>
      </c>
      <c r="D37" s="112">
        <f>VLOOKUP(" 長期投資(新增)",PKC!$B$1:$L$500,8,0)</f>
        <v>0</v>
      </c>
      <c r="E37" s="112">
        <f>VLOOKUP(" 長期投資(新增)",PKC!$B$1:$L$500,7,0)</f>
        <v>0</v>
      </c>
      <c r="F37" s="112">
        <f>VLOOKUP(" 長期投資(新增)",PKC!$B$1:$L$500,6,0)</f>
        <v>0</v>
      </c>
      <c r="G37" s="112">
        <f>VLOOKUP(" 長期投資(新增)",PKC!$B$1:$L$500,5,0)</f>
        <v>0</v>
      </c>
      <c r="H37" s="112">
        <f>VLOOKUP(" 長期投資(新增)",PKC!$B$1:$L$500,4,0)</f>
        <v>0</v>
      </c>
      <c r="I37" s="112">
        <f>VLOOKUP(" 長期投資(新增)",PKC!$B$1:$L$500,3,0)</f>
        <v>0</v>
      </c>
      <c r="J37" s="112">
        <f>VLOOKUP(" 長期投資(新增)",PKC!$B$1:$L$500,2,0)</f>
        <v>0</v>
      </c>
      <c r="K37" s="112"/>
      <c r="L37" s="112"/>
    </row>
    <row r="38" spans="1:12">
      <c r="A38" s="113">
        <v>3706</v>
      </c>
      <c r="B38" s="113" t="s">
        <v>161</v>
      </c>
      <c r="C38" s="113">
        <f>VLOOKUP(" 折舊",PKA!$B$1:$L$500,9,0)</f>
        <v>0</v>
      </c>
      <c r="D38" s="113">
        <f>VLOOKUP(" 折舊",PKA!$B$1:$L$500,8,0)</f>
        <v>0</v>
      </c>
      <c r="E38" s="113">
        <f>VLOOKUP(" 折舊",PKA!$B$1:$L$500,7,0)</f>
        <v>134</v>
      </c>
      <c r="F38" s="113">
        <f>VLOOKUP(" 折舊",PKA!$B$1:$L$500,6,0)</f>
        <v>135</v>
      </c>
      <c r="G38" s="113">
        <f>VLOOKUP(" 折舊",PKA!$B$1:$L$500,5,0)</f>
        <v>126</v>
      </c>
      <c r="H38" s="113">
        <f>VLOOKUP(" 折舊",PKA!$B$1:$L$500,4,0)</f>
        <v>105</v>
      </c>
      <c r="I38" s="113">
        <f>VLOOKUP(" 折舊",PKA!$B$1:$L$500,3,0)</f>
        <v>120</v>
      </c>
      <c r="J38" s="113">
        <f>VLOOKUP(" 折舊",PKA!$B$1:$L$500,2,0)</f>
        <v>116</v>
      </c>
      <c r="K38" s="113"/>
      <c r="L38" s="113"/>
    </row>
    <row r="39" spans="1:12">
      <c r="A39" s="113">
        <v>3499</v>
      </c>
      <c r="B39" s="113" t="s">
        <v>161</v>
      </c>
      <c r="C39" s="113">
        <f>VLOOKUP(" 折舊",PKB!$B$1:$L$500,9,0)</f>
        <v>8</v>
      </c>
      <c r="D39" s="113">
        <f>VLOOKUP(" 折舊",PKB!$B$1:$L$500,8,0)</f>
        <v>8</v>
      </c>
      <c r="E39" s="113">
        <f>VLOOKUP(" 折舊",PKB!$B$1:$L$500,7,0)</f>
        <v>9</v>
      </c>
      <c r="F39" s="113">
        <f>VLOOKUP(" 折舊",PKB!$B$1:$L$500,6,0)</f>
        <v>9</v>
      </c>
      <c r="G39" s="113">
        <f>VLOOKUP(" 折舊",PKB!$B$1:$L$500,5,0)</f>
        <v>8</v>
      </c>
      <c r="H39" s="113">
        <f>VLOOKUP(" 折舊",PKB!$B$1:$L$500,4,0)</f>
        <v>8</v>
      </c>
      <c r="I39" s="113">
        <f>VLOOKUP(" 折舊",PKB!$B$1:$L$500,3,0)</f>
        <v>8</v>
      </c>
      <c r="J39" s="113">
        <f>VLOOKUP(" 折舊",PKB!$B$1:$L$500,2,0)</f>
        <v>8</v>
      </c>
      <c r="K39" s="113"/>
      <c r="L39" s="113"/>
    </row>
    <row r="40" spans="1:12">
      <c r="A40" s="113">
        <v>3306</v>
      </c>
      <c r="B40" s="113" t="s">
        <v>161</v>
      </c>
      <c r="C40" s="113">
        <f>VLOOKUP(" 折舊",PKC!$B$1:$L$500,9,0)</f>
        <v>2</v>
      </c>
      <c r="D40" s="113">
        <f>VLOOKUP(" 折舊",PKC!$B$1:$L$500,8,0)</f>
        <v>2</v>
      </c>
      <c r="E40" s="113">
        <f>VLOOKUP(" 折舊",PKC!$B$1:$L$500,7,0)</f>
        <v>2</v>
      </c>
      <c r="F40" s="113">
        <f>VLOOKUP(" 折舊",PKC!$B$1:$L$500,6,0)</f>
        <v>2</v>
      </c>
      <c r="G40" s="113">
        <f>VLOOKUP(" 折舊",PKC!$B$1:$L$500,5,0)</f>
        <v>2</v>
      </c>
      <c r="H40" s="113">
        <f>VLOOKUP(" 折舊",PKC!$B$1:$L$500,4,0)</f>
        <v>2</v>
      </c>
      <c r="I40" s="113">
        <f>VLOOKUP(" 折舊",PKC!$B$1:$L$500,3,0)</f>
        <v>2</v>
      </c>
      <c r="J40" s="113">
        <f>VLOOKUP(" 折舊",PKC!$B$1:$L$500,2,0)</f>
        <v>2</v>
      </c>
      <c r="K40" s="113"/>
      <c r="L40" s="113"/>
    </row>
    <row r="41" spans="1:12">
      <c r="A41" s="114">
        <v>3706</v>
      </c>
      <c r="B41" s="114" t="s">
        <v>311</v>
      </c>
      <c r="C41" s="114">
        <f>VLOOKUP("營業費用",PKA!$B$1:$L$500,9,0)</f>
        <v>0</v>
      </c>
      <c r="D41" s="114">
        <f>VLOOKUP("營業費用",PKA!$B$1:$L$500,8,0)</f>
        <v>0</v>
      </c>
      <c r="E41" s="114">
        <f>VLOOKUP("營業費用",PKA!$B$1:$L$500,7,0)</f>
        <v>1575</v>
      </c>
      <c r="F41" s="114">
        <f>VLOOKUP("營業費用",PKA!$B$1:$L$500,6,0)</f>
        <v>1479</v>
      </c>
      <c r="G41" s="114">
        <f>VLOOKUP("營業費用",PKA!$B$1:$L$500,5,0)</f>
        <v>1505</v>
      </c>
      <c r="H41" s="114">
        <f>VLOOKUP("營業費用",PKA!$B$1:$L$500,4,0)</f>
        <v>1532</v>
      </c>
      <c r="I41" s="114">
        <f>VLOOKUP("營業費用",PKA!$B$1:$L$500,3,0)</f>
        <v>1548</v>
      </c>
      <c r="J41" s="114">
        <f>VLOOKUP("營業費用",PKA!$B$1:$L$500,2,0)</f>
        <v>1323</v>
      </c>
      <c r="K41" s="114"/>
      <c r="L41" s="114"/>
    </row>
    <row r="42" spans="1:12">
      <c r="A42" s="114">
        <v>3499</v>
      </c>
      <c r="B42" s="114" t="s">
        <v>311</v>
      </c>
      <c r="C42" s="114">
        <f>VLOOKUP("營業費用",PKB!$B$1:$L$500,9,0)</f>
        <v>43</v>
      </c>
      <c r="D42" s="114">
        <f>VLOOKUP("營業費用",PKB!$B$1:$L$500,8,0)</f>
        <v>41</v>
      </c>
      <c r="E42" s="114">
        <f>VLOOKUP("營業費用",PKB!$B$1:$L$500,7,0)</f>
        <v>38</v>
      </c>
      <c r="F42" s="114">
        <f>VLOOKUP("營業費用",PKB!$B$1:$L$500,6,0)</f>
        <v>42</v>
      </c>
      <c r="G42" s="114">
        <f>VLOOKUP("營業費用",PKB!$B$1:$L$500,5,0)</f>
        <v>38</v>
      </c>
      <c r="H42" s="114">
        <f>VLOOKUP("營業費用",PKB!$B$1:$L$500,4,0)</f>
        <v>37</v>
      </c>
      <c r="I42" s="114">
        <f>VLOOKUP("營業費用",PKB!$B$1:$L$500,3,0)</f>
        <v>35</v>
      </c>
      <c r="J42" s="114">
        <f>VLOOKUP("營業費用",PKB!$B$1:$L$500,2,0)</f>
        <v>40</v>
      </c>
      <c r="K42" s="114"/>
      <c r="L42" s="114"/>
    </row>
    <row r="43" spans="1:12">
      <c r="A43" s="114">
        <v>3306</v>
      </c>
      <c r="B43" s="114" t="s">
        <v>311</v>
      </c>
      <c r="C43" s="114">
        <f>VLOOKUP("營業費用",PKC!$B$1:$L$500,9,0)</f>
        <v>64</v>
      </c>
      <c r="D43" s="114">
        <f>VLOOKUP("營業費用",PKC!$B$1:$L$500,8,0)</f>
        <v>65</v>
      </c>
      <c r="E43" s="114">
        <f>VLOOKUP("營業費用",PKC!$B$1:$L$500,7,0)</f>
        <v>69</v>
      </c>
      <c r="F43" s="114">
        <f>VLOOKUP("營業費用",PKC!$B$1:$L$500,6,0)</f>
        <v>61</v>
      </c>
      <c r="G43" s="114">
        <f>VLOOKUP("營業費用",PKC!$B$1:$L$500,5,0)</f>
        <v>65</v>
      </c>
      <c r="H43" s="114">
        <f>VLOOKUP("營業費用",PKC!$B$1:$L$500,4,0)</f>
        <v>68</v>
      </c>
      <c r="I43" s="114">
        <f>VLOOKUP("營業費用",PKC!$B$1:$L$500,3,0)</f>
        <v>74</v>
      </c>
      <c r="J43" s="114">
        <f>VLOOKUP("營業費用",PKC!$B$1:$L$500,2,0)</f>
        <v>59</v>
      </c>
      <c r="K43" s="114"/>
      <c r="L43" s="114"/>
    </row>
    <row r="44" spans="1:12">
      <c r="A44" s="115">
        <v>3706</v>
      </c>
      <c r="B44" s="115" t="s">
        <v>26</v>
      </c>
      <c r="C44" s="115">
        <f>IF(ISNUMBER((C2-C5)/C2),(C2-C5)/C2,0)</f>
        <v>0</v>
      </c>
      <c r="D44" s="115">
        <f t="shared" ref="D44:J44" si="0">IF(ISNUMBER((D2-D5)/D2),(D2-D5)/D2,0)</f>
        <v>0</v>
      </c>
      <c r="E44" s="115">
        <f t="shared" si="0"/>
        <v>0.14421661924850387</v>
      </c>
      <c r="F44" s="115">
        <f t="shared" si="0"/>
        <v>0.13989881162489703</v>
      </c>
      <c r="G44" s="115">
        <f t="shared" si="0"/>
        <v>0.13444018731375054</v>
      </c>
      <c r="H44" s="115">
        <f t="shared" si="0"/>
        <v>0.13504855340874963</v>
      </c>
      <c r="I44" s="115">
        <f t="shared" si="0"/>
        <v>0.13409994081339308</v>
      </c>
      <c r="J44" s="115">
        <f t="shared" si="0"/>
        <v>0.11159982108245117</v>
      </c>
      <c r="K44" s="115">
        <f>MIN(C44:J46)</f>
        <v>0</v>
      </c>
      <c r="L44" s="115">
        <f>MAX(C44:J46)</f>
        <v>0.29457364341085274</v>
      </c>
    </row>
    <row r="45" spans="1:12">
      <c r="A45" s="115">
        <v>3499</v>
      </c>
      <c r="B45" s="115" t="s">
        <v>26</v>
      </c>
      <c r="C45" s="115">
        <f t="shared" ref="C45:J46" si="1">IF(ISNUMBER((C3-C6)/C3),(C3-C6)/C3,0)</f>
        <v>0.2857142857142857</v>
      </c>
      <c r="D45" s="115">
        <f t="shared" si="1"/>
        <v>0.22857142857142856</v>
      </c>
      <c r="E45" s="115">
        <f t="shared" si="1"/>
        <v>0.26605504587155965</v>
      </c>
      <c r="F45" s="115">
        <f t="shared" si="1"/>
        <v>0.14634146341463414</v>
      </c>
      <c r="G45" s="115">
        <f t="shared" si="1"/>
        <v>0.27</v>
      </c>
      <c r="H45" s="115">
        <f t="shared" si="1"/>
        <v>0.27737226277372262</v>
      </c>
      <c r="I45" s="115">
        <f t="shared" si="1"/>
        <v>0.20909090909090908</v>
      </c>
      <c r="J45" s="115">
        <f t="shared" si="1"/>
        <v>0.29457364341085274</v>
      </c>
      <c r="K45" s="115"/>
      <c r="L45" s="115"/>
    </row>
    <row r="46" spans="1:12">
      <c r="A46" s="115">
        <v>3306</v>
      </c>
      <c r="B46" s="115" t="s">
        <v>26</v>
      </c>
      <c r="C46" s="115">
        <f t="shared" si="1"/>
        <v>0.2153846153846154</v>
      </c>
      <c r="D46" s="115">
        <f t="shared" si="1"/>
        <v>0.22033898305084745</v>
      </c>
      <c r="E46" s="115">
        <f t="shared" si="1"/>
        <v>0.26004228329809725</v>
      </c>
      <c r="F46" s="115">
        <f t="shared" si="1"/>
        <v>0.23192771084337349</v>
      </c>
      <c r="G46" s="115">
        <f t="shared" si="1"/>
        <v>0.23239436619718309</v>
      </c>
      <c r="H46" s="115">
        <f t="shared" si="1"/>
        <v>0.22556390977443608</v>
      </c>
      <c r="I46" s="115">
        <f t="shared" si="1"/>
        <v>0.21467391304347827</v>
      </c>
      <c r="J46" s="115">
        <f t="shared" si="1"/>
        <v>0.21875</v>
      </c>
      <c r="K46" s="115"/>
      <c r="L46" s="115"/>
    </row>
    <row r="47" spans="1:12">
      <c r="A47" s="111">
        <v>3706</v>
      </c>
      <c r="B47" s="111" t="s">
        <v>312</v>
      </c>
      <c r="C47" s="111">
        <f t="shared" ref="C47:C52" si="2">D47</f>
        <v>0</v>
      </c>
      <c r="D47" s="111">
        <f>IF(ISNUMBER(365/(D2*4/((C14+D14)/2))),365/(D2*4/((C14+D14)/2)),0)</f>
        <v>0</v>
      </c>
      <c r="E47" s="111">
        <f t="shared" ref="E47:J47" si="3">IF(ISNUMBER(365/(E2*4/((D14+E14)/2))),365/(E2*4/((D14+E14)/2)),0)</f>
        <v>49.120842735210438</v>
      </c>
      <c r="F47" s="111">
        <f t="shared" si="3"/>
        <v>60.951435462995647</v>
      </c>
      <c r="G47" s="111">
        <f t="shared" si="3"/>
        <v>45.139421030225627</v>
      </c>
      <c r="H47" s="111">
        <f t="shared" si="3"/>
        <v>56.134873360696766</v>
      </c>
      <c r="I47" s="111">
        <f t="shared" si="3"/>
        <v>52.480130210535215</v>
      </c>
      <c r="J47" s="111">
        <f t="shared" si="3"/>
        <v>59.631541672879088</v>
      </c>
      <c r="K47" s="111">
        <f>MIN(C47:J49)</f>
        <v>0</v>
      </c>
      <c r="L47" s="111">
        <f>MAX(C47:J49)</f>
        <v>69.089285714285722</v>
      </c>
    </row>
    <row r="48" spans="1:12">
      <c r="A48" s="111">
        <v>3499</v>
      </c>
      <c r="B48" s="111" t="s">
        <v>312</v>
      </c>
      <c r="C48" s="111">
        <f t="shared" si="2"/>
        <v>69.089285714285722</v>
      </c>
      <c r="D48" s="111">
        <f t="shared" ref="D48:J50" si="4">IF(ISNUMBER(365/(D3*4/((C15+D15)/2))),365/(D3*4/((C15+D15)/2)),0)</f>
        <v>69.089285714285722</v>
      </c>
      <c r="E48" s="111">
        <f t="shared" si="4"/>
        <v>48.555045871559628</v>
      </c>
      <c r="F48" s="111">
        <f t="shared" si="4"/>
        <v>50.632621951219512</v>
      </c>
      <c r="G48" s="111">
        <f t="shared" si="4"/>
        <v>41.518749999999997</v>
      </c>
      <c r="H48" s="111">
        <f t="shared" si="4"/>
        <v>41.961678832116789</v>
      </c>
      <c r="I48" s="111">
        <f t="shared" si="4"/>
        <v>53.090909090909093</v>
      </c>
      <c r="J48" s="111">
        <f t="shared" si="4"/>
        <v>44.917635658914733</v>
      </c>
      <c r="K48" s="111"/>
      <c r="L48" s="111">
        <f>AVERAGE(F48:J48)</f>
        <v>46.424319106632026</v>
      </c>
    </row>
    <row r="49" spans="1:12">
      <c r="A49" s="111">
        <v>3306</v>
      </c>
      <c r="B49" s="111" t="s">
        <v>312</v>
      </c>
      <c r="C49" s="111">
        <f t="shared" si="2"/>
        <v>37.450060532687651</v>
      </c>
      <c r="D49" s="111">
        <f t="shared" si="4"/>
        <v>37.450060532687651</v>
      </c>
      <c r="E49" s="111">
        <f t="shared" si="4"/>
        <v>36.364957716701902</v>
      </c>
      <c r="F49" s="111">
        <f t="shared" si="4"/>
        <v>35.867846385542165</v>
      </c>
      <c r="G49" s="111">
        <f t="shared" si="4"/>
        <v>33.41549295774648</v>
      </c>
      <c r="H49" s="111">
        <f t="shared" si="4"/>
        <v>28.244047619047617</v>
      </c>
      <c r="I49" s="111">
        <f t="shared" si="4"/>
        <v>28.515625</v>
      </c>
      <c r="J49" s="111">
        <f t="shared" si="4"/>
        <v>29.782986111111111</v>
      </c>
      <c r="K49" s="111"/>
      <c r="L49" s="111">
        <f>AVERAGE(F49:J49)</f>
        <v>31.165199614689477</v>
      </c>
    </row>
    <row r="50" spans="1:12">
      <c r="A50" s="112">
        <v>3706</v>
      </c>
      <c r="B50" s="112" t="s">
        <v>313</v>
      </c>
      <c r="C50" s="112">
        <f t="shared" si="2"/>
        <v>0</v>
      </c>
      <c r="D50" s="112">
        <f>IF(ISNUMBER(365/(D5*4/((C17+D17)/2))),365/(D5*4/((C17+D17)/2)),0)</f>
        <v>0</v>
      </c>
      <c r="E50" s="112">
        <f t="shared" si="4"/>
        <v>69.826177920440216</v>
      </c>
      <c r="F50" s="112">
        <f t="shared" si="4"/>
        <v>83.248461012311907</v>
      </c>
      <c r="G50" s="112">
        <f t="shared" si="4"/>
        <v>58.505557741491245</v>
      </c>
      <c r="H50" s="112">
        <f t="shared" si="4"/>
        <v>72.007233796296291</v>
      </c>
      <c r="I50" s="112">
        <f t="shared" si="4"/>
        <v>65.071648276535484</v>
      </c>
      <c r="J50" s="112">
        <f t="shared" si="4"/>
        <v>60.916285558445921</v>
      </c>
      <c r="K50" s="112">
        <f>MIN(C50:J52)</f>
        <v>0</v>
      </c>
      <c r="L50" s="112">
        <f>MAX(C50:J52)</f>
        <v>170.10802469135803</v>
      </c>
    </row>
    <row r="51" spans="1:12">
      <c r="A51" s="112">
        <v>3499</v>
      </c>
      <c r="B51" s="112" t="s">
        <v>313</v>
      </c>
      <c r="C51" s="112">
        <f t="shared" si="2"/>
        <v>170.10802469135803</v>
      </c>
      <c r="D51" s="112">
        <f t="shared" ref="D51:J52" si="5">IF(ISNUMBER(365/(D6*4/((C18+D18)/2))),365/(D6*4/((C18+D18)/2)),0)</f>
        <v>170.10802469135803</v>
      </c>
      <c r="E51" s="112">
        <f t="shared" si="5"/>
        <v>156.8359375</v>
      </c>
      <c r="F51" s="112">
        <f t="shared" si="5"/>
        <v>160.33928571428572</v>
      </c>
      <c r="G51" s="112">
        <f t="shared" si="5"/>
        <v>154.375</v>
      </c>
      <c r="H51" s="112">
        <f t="shared" si="5"/>
        <v>117.97979797979798</v>
      </c>
      <c r="I51" s="112">
        <f t="shared" si="5"/>
        <v>124.81321839080461</v>
      </c>
      <c r="J51" s="112">
        <f t="shared" si="5"/>
        <v>108.2967032967033</v>
      </c>
      <c r="K51" s="112"/>
      <c r="L51" s="112">
        <f>AVERAGE(F51:J51)</f>
        <v>133.16080107631834</v>
      </c>
    </row>
    <row r="52" spans="1:12">
      <c r="A52" s="112">
        <v>3306</v>
      </c>
      <c r="B52" s="112" t="s">
        <v>313</v>
      </c>
      <c r="C52" s="112">
        <f t="shared" si="2"/>
        <v>22.387422360248443</v>
      </c>
      <c r="D52" s="112">
        <f t="shared" si="5"/>
        <v>22.387422360248443</v>
      </c>
      <c r="E52" s="112">
        <f t="shared" si="5"/>
        <v>21.769642857142859</v>
      </c>
      <c r="F52" s="112">
        <f t="shared" si="5"/>
        <v>30.59558823529412</v>
      </c>
      <c r="G52" s="112">
        <f t="shared" si="5"/>
        <v>39.974197247706421</v>
      </c>
      <c r="H52" s="112">
        <f t="shared" si="5"/>
        <v>31.893203883495143</v>
      </c>
      <c r="I52" s="112">
        <f t="shared" si="5"/>
        <v>29.995674740484429</v>
      </c>
      <c r="J52" s="112">
        <f t="shared" si="5"/>
        <v>33.458333333333336</v>
      </c>
      <c r="K52" s="112"/>
      <c r="L52" s="112">
        <f>AVERAGE(F52:J52)</f>
        <v>33.18339948806269</v>
      </c>
    </row>
    <row r="53" spans="1:12">
      <c r="A53" s="113">
        <v>3706</v>
      </c>
      <c r="B53" s="113" t="s">
        <v>314</v>
      </c>
      <c r="C53" s="113" t="e">
        <f>C20/C23</f>
        <v>#DIV/0!</v>
      </c>
      <c r="D53" s="113">
        <f t="shared" ref="D53:J54" si="6">D20/D23</f>
        <v>0.30869757998646474</v>
      </c>
      <c r="E53" s="113">
        <f t="shared" si="6"/>
        <v>0.30732260258444799</v>
      </c>
      <c r="F53" s="113">
        <f t="shared" si="6"/>
        <v>0.28790565907363475</v>
      </c>
      <c r="G53" s="113">
        <f t="shared" si="6"/>
        <v>0.34137842023748066</v>
      </c>
      <c r="H53" s="113">
        <f t="shared" si="6"/>
        <v>0.33214775454233803</v>
      </c>
      <c r="I53" s="113">
        <f t="shared" si="6"/>
        <v>0.33300141067131356</v>
      </c>
      <c r="J53" s="113">
        <f t="shared" si="6"/>
        <v>0.36821349784276597</v>
      </c>
      <c r="K53" s="113" t="e">
        <f>MIN(C53:J55)</f>
        <v>#DIV/0!</v>
      </c>
      <c r="L53" s="113" t="e">
        <f>MAX(C53:J55)</f>
        <v>#DIV/0!</v>
      </c>
    </row>
    <row r="54" spans="1:12">
      <c r="A54" s="113">
        <v>3499</v>
      </c>
      <c r="B54" s="113" t="s">
        <v>314</v>
      </c>
      <c r="C54" s="113">
        <f>IF(ISNUMBER(C21/C24),C21/C24,0)</f>
        <v>0.3489177489177489</v>
      </c>
      <c r="D54" s="113">
        <f t="shared" si="6"/>
        <v>0.31918997107039537</v>
      </c>
      <c r="E54" s="113">
        <f t="shared" si="6"/>
        <v>0.33731343283582088</v>
      </c>
      <c r="F54" s="113">
        <f t="shared" si="6"/>
        <v>0.29314159292035397</v>
      </c>
      <c r="G54" s="113">
        <f t="shared" si="6"/>
        <v>0.30405405405405406</v>
      </c>
      <c r="H54" s="113">
        <f t="shared" si="6"/>
        <v>0.29438202247191009</v>
      </c>
      <c r="I54" s="113">
        <f t="shared" si="6"/>
        <v>0.27064220183486237</v>
      </c>
      <c r="J54" s="113">
        <f t="shared" si="6"/>
        <v>0.26162790697674421</v>
      </c>
      <c r="K54" s="113"/>
      <c r="L54" s="113"/>
    </row>
    <row r="55" spans="1:12">
      <c r="A55" s="113">
        <v>3306</v>
      </c>
      <c r="B55" s="113" t="s">
        <v>314</v>
      </c>
      <c r="C55" s="113">
        <f>IF(ISNUMBER(C22/C25),C22/C25,0)</f>
        <v>0.18590108015918136</v>
      </c>
      <c r="D55" s="113">
        <f t="shared" ref="D55:J55" si="7">IF(ISNUMBER(D22/D25),D22/D25,0)</f>
        <v>0.20066152149944874</v>
      </c>
      <c r="E55" s="113">
        <f t="shared" si="7"/>
        <v>0.19561815336463223</v>
      </c>
      <c r="F55" s="113">
        <f t="shared" si="7"/>
        <v>0.13451511991657977</v>
      </c>
      <c r="G55" s="113">
        <f t="shared" si="7"/>
        <v>0.18172740888666999</v>
      </c>
      <c r="H55" s="113">
        <f t="shared" si="7"/>
        <v>0.16850393700787403</v>
      </c>
      <c r="I55" s="113">
        <f t="shared" si="7"/>
        <v>0.14581124072110285</v>
      </c>
      <c r="J55" s="113">
        <f t="shared" si="7"/>
        <v>0.13609145345672291</v>
      </c>
      <c r="K55" s="113"/>
      <c r="L55" s="113"/>
    </row>
    <row r="56" spans="1:12">
      <c r="A56" s="114">
        <v>3706</v>
      </c>
      <c r="B56" s="114" t="s">
        <v>315</v>
      </c>
      <c r="C56" s="114">
        <f>IF(C8&gt;0,IF(C26&gt;C8,IF(ISNUMBER(C26/C8),C26/C8,0),0),0)</f>
        <v>0</v>
      </c>
      <c r="D56" s="114">
        <f t="shared" ref="D56:J56" si="8">IF(D8&gt;0,IF(D26&gt;D8,IF(ISNUMBER(D26/D8),D26/D8,0),0),0)</f>
        <v>0</v>
      </c>
      <c r="E56" s="114">
        <f t="shared" si="8"/>
        <v>0</v>
      </c>
      <c r="F56" s="114">
        <f t="shared" si="8"/>
        <v>0</v>
      </c>
      <c r="G56" s="114">
        <f t="shared" si="8"/>
        <v>3.9134615384615383</v>
      </c>
      <c r="H56" s="114">
        <f t="shared" si="8"/>
        <v>0</v>
      </c>
      <c r="I56" s="114">
        <f t="shared" si="8"/>
        <v>0</v>
      </c>
      <c r="J56" s="114">
        <f t="shared" si="8"/>
        <v>0</v>
      </c>
      <c r="K56" s="114"/>
      <c r="L56" s="114">
        <f>AVERAGE(F56:J56)</f>
        <v>0.78269230769230769</v>
      </c>
    </row>
    <row r="57" spans="1:12">
      <c r="A57" s="114">
        <v>3499</v>
      </c>
      <c r="B57" s="114" t="s">
        <v>315</v>
      </c>
      <c r="C57" s="114">
        <f t="shared" ref="C57:J58" si="9">IF(C9&gt;0,IF(C27&gt;C9,IF(ISNUMBER(C27/C9),C27/C9,0),0),0)</f>
        <v>0</v>
      </c>
      <c r="D57" s="114">
        <f t="shared" si="9"/>
        <v>0</v>
      </c>
      <c r="E57" s="114">
        <f t="shared" si="9"/>
        <v>0</v>
      </c>
      <c r="F57" s="114">
        <f t="shared" si="9"/>
        <v>0</v>
      </c>
      <c r="G57" s="114">
        <f t="shared" si="9"/>
        <v>0</v>
      </c>
      <c r="H57" s="114">
        <f t="shared" si="9"/>
        <v>10</v>
      </c>
      <c r="I57" s="114">
        <f t="shared" si="9"/>
        <v>0</v>
      </c>
      <c r="J57" s="114">
        <f t="shared" si="9"/>
        <v>0</v>
      </c>
      <c r="K57" s="114"/>
      <c r="L57" s="114"/>
    </row>
    <row r="58" spans="1:12">
      <c r="A58" s="114">
        <v>3306</v>
      </c>
      <c r="B58" s="114" t="s">
        <v>315</v>
      </c>
      <c r="C58" s="114">
        <f t="shared" si="9"/>
        <v>2.1538461538461537</v>
      </c>
      <c r="D58" s="114">
        <f t="shared" si="9"/>
        <v>0</v>
      </c>
      <c r="E58" s="114">
        <f t="shared" si="9"/>
        <v>2.1818181818181817</v>
      </c>
      <c r="F58" s="114">
        <f t="shared" si="9"/>
        <v>0</v>
      </c>
      <c r="G58" s="114">
        <f t="shared" si="9"/>
        <v>1.9333333333333333</v>
      </c>
      <c r="H58" s="114">
        <f t="shared" si="9"/>
        <v>3.3333333333333335</v>
      </c>
      <c r="I58" s="114">
        <f t="shared" si="9"/>
        <v>9.5</v>
      </c>
      <c r="J58" s="114">
        <f t="shared" si="9"/>
        <v>0</v>
      </c>
      <c r="K58" s="114"/>
      <c r="L58" s="114"/>
    </row>
    <row r="59" spans="1:12">
      <c r="A59" s="115">
        <v>3706</v>
      </c>
      <c r="B59" s="115" t="s">
        <v>316</v>
      </c>
      <c r="C59" s="115" t="e">
        <f>C38/C5</f>
        <v>#DIV/0!</v>
      </c>
      <c r="D59" s="115" t="e">
        <f t="shared" ref="D59:J59" si="10">D38/D5</f>
        <v>#DIV/0!</v>
      </c>
      <c r="E59" s="115">
        <f t="shared" si="10"/>
        <v>1.5361687492835034E-2</v>
      </c>
      <c r="F59" s="115">
        <f t="shared" si="10"/>
        <v>1.8467852257181942E-2</v>
      </c>
      <c r="G59" s="115">
        <f t="shared" si="10"/>
        <v>1.2394255361007279E-2</v>
      </c>
      <c r="H59" s="115">
        <f t="shared" si="10"/>
        <v>1.2152777777777778E-2</v>
      </c>
      <c r="I59" s="115">
        <f t="shared" si="10"/>
        <v>1.1717605702568109E-2</v>
      </c>
      <c r="J59" s="115">
        <f t="shared" si="10"/>
        <v>9.7339934547285394E-3</v>
      </c>
      <c r="K59" s="115"/>
      <c r="L59" s="115"/>
    </row>
    <row r="60" spans="1:12">
      <c r="A60" s="115">
        <v>3499</v>
      </c>
      <c r="B60" s="115" t="s">
        <v>316</v>
      </c>
      <c r="C60" s="115">
        <f t="shared" ref="C60:J61" si="11">C39/C6</f>
        <v>8.8888888888888892E-2</v>
      </c>
      <c r="D60" s="115">
        <f t="shared" si="11"/>
        <v>9.8765432098765427E-2</v>
      </c>
      <c r="E60" s="115">
        <f t="shared" si="11"/>
        <v>0.1125</v>
      </c>
      <c r="F60" s="115">
        <f t="shared" si="11"/>
        <v>0.12857142857142856</v>
      </c>
      <c r="G60" s="115">
        <f t="shared" si="11"/>
        <v>0.1095890410958904</v>
      </c>
      <c r="H60" s="115">
        <f t="shared" si="11"/>
        <v>8.0808080808080815E-2</v>
      </c>
      <c r="I60" s="115">
        <f t="shared" si="11"/>
        <v>9.1954022988505746E-2</v>
      </c>
      <c r="J60" s="115">
        <f t="shared" si="11"/>
        <v>8.7912087912087919E-2</v>
      </c>
      <c r="K60" s="115"/>
      <c r="L60" s="115"/>
    </row>
    <row r="61" spans="1:12">
      <c r="A61" s="115">
        <v>3306</v>
      </c>
      <c r="B61" s="115" t="s">
        <v>316</v>
      </c>
      <c r="C61" s="115">
        <f t="shared" si="11"/>
        <v>9.8039215686274508E-3</v>
      </c>
      <c r="D61" s="115">
        <f t="shared" si="11"/>
        <v>6.2111801242236021E-3</v>
      </c>
      <c r="E61" s="115">
        <f t="shared" si="11"/>
        <v>5.7142857142857143E-3</v>
      </c>
      <c r="F61" s="115">
        <f t="shared" si="11"/>
        <v>7.8431372549019607E-3</v>
      </c>
      <c r="G61" s="115">
        <f t="shared" si="11"/>
        <v>9.1743119266055051E-3</v>
      </c>
      <c r="H61" s="115">
        <f t="shared" si="11"/>
        <v>6.4724919093851136E-3</v>
      </c>
      <c r="I61" s="115">
        <f t="shared" si="11"/>
        <v>6.920415224913495E-3</v>
      </c>
      <c r="J61" s="115">
        <f t="shared" si="11"/>
        <v>8.8888888888888889E-3</v>
      </c>
      <c r="K61" s="115"/>
      <c r="L61" s="115"/>
    </row>
    <row r="62" spans="1:12">
      <c r="A62" s="111">
        <v>3706</v>
      </c>
      <c r="B62" s="111" t="s">
        <v>317</v>
      </c>
      <c r="C62" s="116" t="e">
        <f>C41/C2</f>
        <v>#DIV/0!</v>
      </c>
      <c r="D62" s="116" t="e">
        <f t="shared" ref="D62:J62" si="12">D41/D2</f>
        <v>#DIV/0!</v>
      </c>
      <c r="E62" s="116">
        <f t="shared" si="12"/>
        <v>0.15451780633768272</v>
      </c>
      <c r="F62" s="116">
        <f t="shared" si="12"/>
        <v>0.17402047299682316</v>
      </c>
      <c r="G62" s="116">
        <f t="shared" si="12"/>
        <v>0.12813963388676033</v>
      </c>
      <c r="H62" s="116">
        <f t="shared" si="12"/>
        <v>0.15336870557613375</v>
      </c>
      <c r="I62" s="116">
        <f t="shared" si="12"/>
        <v>0.13088695358078972</v>
      </c>
      <c r="J62" s="116">
        <f t="shared" si="12"/>
        <v>9.8628298792306543E-2</v>
      </c>
      <c r="K62" s="111"/>
      <c r="L62" s="111"/>
    </row>
    <row r="63" spans="1:12">
      <c r="A63" s="111">
        <v>3499</v>
      </c>
      <c r="B63" s="111" t="s">
        <v>317</v>
      </c>
      <c r="C63" s="116">
        <f t="shared" ref="C63:J64" si="13">C42/C3</f>
        <v>0.34126984126984128</v>
      </c>
      <c r="D63" s="116">
        <f t="shared" si="13"/>
        <v>0.39047619047619048</v>
      </c>
      <c r="E63" s="116">
        <f t="shared" si="13"/>
        <v>0.34862385321100919</v>
      </c>
      <c r="F63" s="116">
        <f t="shared" si="13"/>
        <v>0.51219512195121952</v>
      </c>
      <c r="G63" s="116">
        <f t="shared" si="13"/>
        <v>0.38</v>
      </c>
      <c r="H63" s="116">
        <f t="shared" si="13"/>
        <v>0.27007299270072993</v>
      </c>
      <c r="I63" s="116">
        <f t="shared" si="13"/>
        <v>0.31818181818181818</v>
      </c>
      <c r="J63" s="116">
        <f t="shared" si="13"/>
        <v>0.31007751937984496</v>
      </c>
      <c r="K63" s="111"/>
      <c r="L63" s="111"/>
    </row>
    <row r="64" spans="1:12">
      <c r="A64" s="111">
        <v>3306</v>
      </c>
      <c r="B64" s="111" t="s">
        <v>317</v>
      </c>
      <c r="C64" s="116">
        <f t="shared" si="13"/>
        <v>0.24615384615384617</v>
      </c>
      <c r="D64" s="116">
        <f t="shared" si="13"/>
        <v>0.15738498789346247</v>
      </c>
      <c r="E64" s="116">
        <f t="shared" si="13"/>
        <v>0.14587737843551796</v>
      </c>
      <c r="F64" s="116">
        <f t="shared" si="13"/>
        <v>0.18373493975903615</v>
      </c>
      <c r="G64" s="116">
        <f t="shared" si="13"/>
        <v>0.22887323943661972</v>
      </c>
      <c r="H64" s="116">
        <f t="shared" si="13"/>
        <v>0.17042606516290726</v>
      </c>
      <c r="I64" s="116">
        <f t="shared" si="13"/>
        <v>0.20108695652173914</v>
      </c>
      <c r="J64" s="116">
        <f t="shared" si="13"/>
        <v>0.2048611111111111</v>
      </c>
      <c r="K64" s="111"/>
      <c r="L64" s="111"/>
    </row>
  </sheetData>
  <sheetProtection sheet="1" objects="1" scenarios="1"/>
  <phoneticPr fontId="2" type="noConversion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I246"/>
  <sheetViews>
    <sheetView topLeftCell="A124" workbookViewId="0">
      <selection sqref="A1:XFD1000"/>
    </sheetView>
  </sheetViews>
  <sheetFormatPr defaultRowHeight="16.5"/>
  <cols>
    <col min="2" max="2" width="81" customWidth="1"/>
    <col min="3" max="10" width="7.375" customWidth="1"/>
  </cols>
  <sheetData>
    <row r="2" spans="2:8">
      <c r="B2" t="s">
        <v>617</v>
      </c>
    </row>
    <row r="3" spans="2:8">
      <c r="B3" t="s">
        <v>65</v>
      </c>
    </row>
    <row r="4" spans="2:8">
      <c r="B4" t="s">
        <v>93</v>
      </c>
      <c r="C4" t="s">
        <v>94</v>
      </c>
      <c r="D4" t="s">
        <v>95</v>
      </c>
      <c r="E4" t="s">
        <v>96</v>
      </c>
      <c r="F4" t="s">
        <v>97</v>
      </c>
      <c r="G4" t="s">
        <v>98</v>
      </c>
      <c r="H4" t="s">
        <v>99</v>
      </c>
    </row>
    <row r="5" spans="2:8">
      <c r="B5" t="s">
        <v>11</v>
      </c>
      <c r="C5" s="117">
        <v>13414</v>
      </c>
      <c r="D5" s="117">
        <v>11827</v>
      </c>
      <c r="E5" s="117">
        <v>9989</v>
      </c>
      <c r="F5" s="117">
        <v>11745</v>
      </c>
      <c r="G5" s="117">
        <v>8499</v>
      </c>
      <c r="H5" s="117">
        <v>10193</v>
      </c>
    </row>
    <row r="6" spans="2:8">
      <c r="B6" t="s">
        <v>12</v>
      </c>
      <c r="C6" s="117">
        <v>11917</v>
      </c>
      <c r="D6" s="117">
        <v>10241</v>
      </c>
      <c r="E6" s="117">
        <v>8640</v>
      </c>
      <c r="F6" s="117">
        <v>10166</v>
      </c>
      <c r="G6" s="117">
        <v>7310</v>
      </c>
      <c r="H6" s="117">
        <v>8723</v>
      </c>
    </row>
    <row r="7" spans="2:8">
      <c r="B7" t="s">
        <v>102</v>
      </c>
      <c r="C7" s="117">
        <v>1497</v>
      </c>
      <c r="D7" s="117">
        <v>1586</v>
      </c>
      <c r="E7" s="117">
        <v>1350</v>
      </c>
      <c r="F7" s="117">
        <v>1579</v>
      </c>
      <c r="G7" s="117">
        <v>1189</v>
      </c>
      <c r="H7" s="117">
        <v>1470</v>
      </c>
    </row>
    <row r="8" spans="2:8">
      <c r="B8" t="s">
        <v>103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</row>
    <row r="9" spans="2:8">
      <c r="B9" t="s">
        <v>104</v>
      </c>
      <c r="C9" s="117">
        <v>1497</v>
      </c>
      <c r="D9" s="117">
        <v>1586</v>
      </c>
      <c r="E9" s="117">
        <v>1350</v>
      </c>
      <c r="F9" s="117">
        <v>1579</v>
      </c>
      <c r="G9" s="117">
        <v>1189</v>
      </c>
      <c r="H9" s="117">
        <v>1470</v>
      </c>
    </row>
    <row r="10" spans="2:8">
      <c r="B10" t="s">
        <v>105</v>
      </c>
      <c r="C10" s="117">
        <v>1323</v>
      </c>
      <c r="D10" s="117">
        <v>1548</v>
      </c>
      <c r="E10" s="117">
        <v>1532</v>
      </c>
      <c r="F10" s="117">
        <v>1505</v>
      </c>
      <c r="G10" s="117">
        <v>1479</v>
      </c>
      <c r="H10" s="117">
        <v>1575</v>
      </c>
    </row>
    <row r="11" spans="2:8">
      <c r="B11" t="s">
        <v>106</v>
      </c>
      <c r="C11">
        <v>365</v>
      </c>
      <c r="D11">
        <v>378</v>
      </c>
      <c r="E11">
        <v>409</v>
      </c>
      <c r="F11">
        <v>440</v>
      </c>
      <c r="G11">
        <v>445</v>
      </c>
      <c r="H11">
        <v>531</v>
      </c>
    </row>
    <row r="12" spans="2:8">
      <c r="B12" t="s">
        <v>107</v>
      </c>
      <c r="C12">
        <v>342</v>
      </c>
      <c r="D12">
        <v>383</v>
      </c>
      <c r="E12">
        <v>363</v>
      </c>
      <c r="F12">
        <v>352</v>
      </c>
      <c r="G12">
        <v>376</v>
      </c>
      <c r="H12">
        <v>365</v>
      </c>
    </row>
    <row r="13" spans="2:8">
      <c r="B13" t="s">
        <v>108</v>
      </c>
      <c r="C13">
        <v>617</v>
      </c>
      <c r="D13">
        <v>787</v>
      </c>
      <c r="E13">
        <v>761</v>
      </c>
      <c r="F13">
        <v>713</v>
      </c>
      <c r="G13">
        <v>658</v>
      </c>
      <c r="H13">
        <v>680</v>
      </c>
    </row>
    <row r="14" spans="2:8">
      <c r="B14" t="s">
        <v>109</v>
      </c>
      <c r="C14">
        <v>174</v>
      </c>
      <c r="D14">
        <v>38</v>
      </c>
      <c r="E14">
        <v>-183</v>
      </c>
      <c r="F14">
        <v>74</v>
      </c>
      <c r="G14">
        <v>-290</v>
      </c>
      <c r="H14">
        <v>-106</v>
      </c>
    </row>
    <row r="15" spans="2:8">
      <c r="B15" t="s">
        <v>110</v>
      </c>
      <c r="C15">
        <v>32</v>
      </c>
      <c r="D15">
        <v>36</v>
      </c>
      <c r="E15">
        <v>37</v>
      </c>
      <c r="F15">
        <v>39</v>
      </c>
      <c r="G15">
        <v>36</v>
      </c>
      <c r="H15">
        <v>25</v>
      </c>
    </row>
    <row r="16" spans="2:8">
      <c r="B16" t="s">
        <v>111</v>
      </c>
      <c r="C16">
        <v>358</v>
      </c>
      <c r="D16">
        <v>443</v>
      </c>
      <c r="E16">
        <v>400</v>
      </c>
      <c r="F16">
        <v>285</v>
      </c>
      <c r="G16">
        <v>191</v>
      </c>
      <c r="H16">
        <v>296</v>
      </c>
    </row>
    <row r="17" spans="2:8">
      <c r="B17" t="s">
        <v>112</v>
      </c>
      <c r="C17">
        <v>0</v>
      </c>
      <c r="D17">
        <v>11</v>
      </c>
      <c r="E17">
        <v>7</v>
      </c>
      <c r="F17">
        <v>10</v>
      </c>
      <c r="G17">
        <v>32</v>
      </c>
      <c r="H17">
        <v>243</v>
      </c>
    </row>
    <row r="18" spans="2:8">
      <c r="B18" t="s">
        <v>113</v>
      </c>
      <c r="C18">
        <v>0</v>
      </c>
      <c r="D18">
        <v>10</v>
      </c>
      <c r="E18">
        <v>16</v>
      </c>
      <c r="F18">
        <v>0</v>
      </c>
      <c r="G18">
        <v>1</v>
      </c>
      <c r="H18">
        <v>4</v>
      </c>
    </row>
    <row r="19" spans="2:8">
      <c r="B19" t="s">
        <v>114</v>
      </c>
      <c r="C19">
        <v>0</v>
      </c>
      <c r="D19">
        <v>-5</v>
      </c>
      <c r="E19">
        <v>18</v>
      </c>
      <c r="F19">
        <v>5</v>
      </c>
      <c r="G19">
        <v>0</v>
      </c>
      <c r="H19">
        <v>12</v>
      </c>
    </row>
    <row r="20" spans="2:8">
      <c r="B20" t="s">
        <v>115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</row>
    <row r="21" spans="2:8">
      <c r="B21" t="s">
        <v>116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</row>
    <row r="22" spans="2:8">
      <c r="B22" t="s">
        <v>117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</row>
    <row r="23" spans="2:8">
      <c r="B23" t="s">
        <v>118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</row>
    <row r="24" spans="2:8">
      <c r="B24" t="s">
        <v>119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</row>
    <row r="25" spans="2:8">
      <c r="B25" t="s">
        <v>120</v>
      </c>
      <c r="C25">
        <v>8</v>
      </c>
      <c r="D25">
        <v>0</v>
      </c>
      <c r="E25">
        <v>0</v>
      </c>
      <c r="F25">
        <v>-22</v>
      </c>
      <c r="G25">
        <v>22</v>
      </c>
      <c r="H25">
        <v>-4</v>
      </c>
    </row>
    <row r="26" spans="2:8">
      <c r="B26" t="s">
        <v>121</v>
      </c>
      <c r="C26">
        <v>23</v>
      </c>
      <c r="D26">
        <v>37</v>
      </c>
      <c r="E26">
        <v>21</v>
      </c>
      <c r="F26">
        <v>41</v>
      </c>
      <c r="G26">
        <v>39</v>
      </c>
      <c r="H26">
        <v>113</v>
      </c>
    </row>
    <row r="27" spans="2:8">
      <c r="B27" t="s">
        <v>122</v>
      </c>
      <c r="C27">
        <v>421</v>
      </c>
      <c r="D27">
        <v>532</v>
      </c>
      <c r="E27">
        <v>498</v>
      </c>
      <c r="F27">
        <v>357</v>
      </c>
      <c r="G27">
        <v>320</v>
      </c>
      <c r="H27">
        <v>690</v>
      </c>
    </row>
    <row r="28" spans="2:8">
      <c r="B28" t="s">
        <v>123</v>
      </c>
      <c r="C28">
        <v>11</v>
      </c>
      <c r="D28">
        <v>13</v>
      </c>
      <c r="E28">
        <v>11</v>
      </c>
      <c r="F28">
        <v>13</v>
      </c>
      <c r="G28">
        <v>8</v>
      </c>
      <c r="H28">
        <v>6</v>
      </c>
    </row>
    <row r="29" spans="2:8">
      <c r="B29" t="s">
        <v>124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</row>
    <row r="30" spans="2:8">
      <c r="B30" t="s">
        <v>125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</row>
    <row r="31" spans="2:8">
      <c r="B31" t="s">
        <v>126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</row>
    <row r="32" spans="2:8">
      <c r="B32" t="s">
        <v>127</v>
      </c>
      <c r="C32">
        <v>0</v>
      </c>
      <c r="D32">
        <v>0</v>
      </c>
      <c r="E32">
        <v>0</v>
      </c>
      <c r="F32">
        <v>0</v>
      </c>
      <c r="G32">
        <v>0</v>
      </c>
      <c r="H32">
        <v>-1</v>
      </c>
    </row>
    <row r="33" spans="2:8">
      <c r="B33" t="s">
        <v>128</v>
      </c>
      <c r="C33">
        <v>3</v>
      </c>
      <c r="D33">
        <v>0</v>
      </c>
      <c r="E33">
        <v>-10</v>
      </c>
      <c r="F33">
        <v>-6</v>
      </c>
      <c r="G33">
        <v>16</v>
      </c>
      <c r="H33">
        <v>-5</v>
      </c>
    </row>
    <row r="34" spans="2:8">
      <c r="B34" t="s">
        <v>129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</row>
    <row r="35" spans="2:8">
      <c r="B35" t="s">
        <v>130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</row>
    <row r="36" spans="2:8">
      <c r="B36" t="s">
        <v>131</v>
      </c>
      <c r="C36">
        <v>5</v>
      </c>
      <c r="D36">
        <v>105</v>
      </c>
      <c r="E36">
        <v>0</v>
      </c>
      <c r="F36">
        <v>0</v>
      </c>
      <c r="G36">
        <v>0</v>
      </c>
      <c r="H36">
        <v>1</v>
      </c>
    </row>
    <row r="37" spans="2:8">
      <c r="B37" t="s">
        <v>132</v>
      </c>
      <c r="C37">
        <v>0</v>
      </c>
      <c r="D37">
        <v>112</v>
      </c>
      <c r="E37">
        <v>0</v>
      </c>
      <c r="F37">
        <v>0</v>
      </c>
      <c r="G37">
        <v>0</v>
      </c>
      <c r="H37">
        <v>0</v>
      </c>
    </row>
    <row r="38" spans="2:8">
      <c r="B38" t="s">
        <v>133</v>
      </c>
      <c r="C38">
        <v>0</v>
      </c>
      <c r="D38">
        <v>-18</v>
      </c>
      <c r="E38">
        <v>26</v>
      </c>
      <c r="F38">
        <v>6</v>
      </c>
      <c r="G38">
        <v>0</v>
      </c>
      <c r="H38">
        <v>6</v>
      </c>
    </row>
    <row r="39" spans="2:8">
      <c r="B39" t="s">
        <v>134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</row>
    <row r="40" spans="2:8">
      <c r="B40" t="s">
        <v>135</v>
      </c>
      <c r="C40">
        <v>7</v>
      </c>
      <c r="D40">
        <v>6</v>
      </c>
      <c r="E40">
        <v>5</v>
      </c>
      <c r="F40">
        <v>8</v>
      </c>
      <c r="G40">
        <v>4</v>
      </c>
      <c r="H40">
        <v>5</v>
      </c>
    </row>
    <row r="41" spans="2:8">
      <c r="B41" t="s">
        <v>136</v>
      </c>
      <c r="C41">
        <v>26</v>
      </c>
      <c r="D41">
        <v>217</v>
      </c>
      <c r="E41">
        <v>32</v>
      </c>
      <c r="F41">
        <v>21</v>
      </c>
      <c r="G41">
        <v>27</v>
      </c>
      <c r="H41">
        <v>12</v>
      </c>
    </row>
    <row r="42" spans="2:8">
      <c r="B42" t="s">
        <v>137</v>
      </c>
      <c r="C42">
        <v>569</v>
      </c>
      <c r="D42">
        <v>353</v>
      </c>
      <c r="E42">
        <v>284</v>
      </c>
      <c r="F42">
        <v>410</v>
      </c>
      <c r="G42">
        <v>4</v>
      </c>
      <c r="H42">
        <v>573</v>
      </c>
    </row>
    <row r="43" spans="2:8">
      <c r="B43" t="s">
        <v>138</v>
      </c>
      <c r="C43">
        <v>137</v>
      </c>
      <c r="D43">
        <v>85</v>
      </c>
      <c r="E43">
        <v>65</v>
      </c>
      <c r="F43">
        <v>98</v>
      </c>
      <c r="G43">
        <v>42</v>
      </c>
      <c r="H43">
        <v>77</v>
      </c>
    </row>
    <row r="44" spans="2:8">
      <c r="B44" t="s">
        <v>139</v>
      </c>
      <c r="C44">
        <v>432</v>
      </c>
      <c r="D44">
        <v>269</v>
      </c>
      <c r="E44">
        <v>218</v>
      </c>
      <c r="F44">
        <v>312</v>
      </c>
      <c r="G44">
        <v>-38</v>
      </c>
      <c r="H44">
        <v>495</v>
      </c>
    </row>
    <row r="45" spans="2:8">
      <c r="B45" t="s">
        <v>140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</row>
    <row r="46" spans="2:8">
      <c r="B46" t="s">
        <v>141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</row>
    <row r="47" spans="2:8">
      <c r="B47" t="s">
        <v>142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</row>
    <row r="48" spans="2:8">
      <c r="B48" t="s">
        <v>143</v>
      </c>
      <c r="C48">
        <v>432</v>
      </c>
      <c r="D48">
        <v>269</v>
      </c>
      <c r="E48">
        <v>218</v>
      </c>
      <c r="F48">
        <v>312</v>
      </c>
      <c r="G48">
        <v>-38</v>
      </c>
      <c r="H48">
        <v>495</v>
      </c>
    </row>
    <row r="49" spans="2:8">
      <c r="B49" t="s">
        <v>144</v>
      </c>
      <c r="C49" t="s">
        <v>145</v>
      </c>
      <c r="D49" t="s">
        <v>145</v>
      </c>
      <c r="E49" t="s">
        <v>145</v>
      </c>
      <c r="F49" t="s">
        <v>145</v>
      </c>
      <c r="G49" t="s">
        <v>145</v>
      </c>
      <c r="H49" t="s">
        <v>145</v>
      </c>
    </row>
    <row r="50" spans="2:8">
      <c r="B50" t="s">
        <v>146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</row>
    <row r="51" spans="2:8">
      <c r="B51" t="s">
        <v>147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</row>
    <row r="52" spans="2:8">
      <c r="B52" t="s">
        <v>14</v>
      </c>
      <c r="C52">
        <v>432</v>
      </c>
      <c r="D52">
        <v>269</v>
      </c>
      <c r="E52">
        <v>218</v>
      </c>
      <c r="F52">
        <v>312</v>
      </c>
      <c r="G52">
        <v>-38</v>
      </c>
      <c r="H52">
        <v>495</v>
      </c>
    </row>
    <row r="53" spans="2:8">
      <c r="B53" t="s">
        <v>15</v>
      </c>
      <c r="C53">
        <v>0.57999999999999996</v>
      </c>
      <c r="D53">
        <v>0.36</v>
      </c>
      <c r="E53">
        <v>0.28999999999999998</v>
      </c>
      <c r="F53">
        <v>0.42</v>
      </c>
      <c r="G53">
        <v>-0.05</v>
      </c>
      <c r="H53">
        <v>0.68</v>
      </c>
    </row>
    <row r="54" spans="2:8">
      <c r="B54" t="s">
        <v>148</v>
      </c>
      <c r="C54">
        <v>0.56999999999999995</v>
      </c>
      <c r="D54" t="s">
        <v>145</v>
      </c>
      <c r="E54">
        <v>0.28999999999999998</v>
      </c>
      <c r="F54">
        <v>0.42</v>
      </c>
      <c r="G54">
        <v>-0.05</v>
      </c>
      <c r="H54" t="s">
        <v>145</v>
      </c>
    </row>
    <row r="55" spans="2:8">
      <c r="B55" t="s">
        <v>149</v>
      </c>
      <c r="C55" s="117">
        <v>7501</v>
      </c>
      <c r="D55" s="117">
        <v>7424</v>
      </c>
      <c r="E55" s="117">
        <v>7416</v>
      </c>
      <c r="F55" s="117">
        <v>7408</v>
      </c>
      <c r="G55" s="117">
        <v>7376</v>
      </c>
      <c r="H55" s="117">
        <v>7334</v>
      </c>
    </row>
    <row r="56" spans="2:8">
      <c r="B56" t="s">
        <v>150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</row>
    <row r="57" spans="2:8">
      <c r="B57" t="s">
        <v>151</v>
      </c>
      <c r="C57" t="s">
        <v>145</v>
      </c>
      <c r="D57">
        <v>0</v>
      </c>
      <c r="E57" t="s">
        <v>145</v>
      </c>
      <c r="F57" t="s">
        <v>145</v>
      </c>
      <c r="G57" t="s">
        <v>145</v>
      </c>
      <c r="H57">
        <v>0</v>
      </c>
    </row>
    <row r="58" spans="2:8">
      <c r="B58" t="s">
        <v>152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</row>
    <row r="59" spans="2:8">
      <c r="B59" t="s">
        <v>153</v>
      </c>
      <c r="C59">
        <v>16</v>
      </c>
      <c r="D59">
        <v>19</v>
      </c>
      <c r="E59">
        <v>21</v>
      </c>
      <c r="F59">
        <v>25</v>
      </c>
      <c r="G59">
        <v>25</v>
      </c>
      <c r="H59">
        <v>25</v>
      </c>
    </row>
    <row r="60" spans="2:8">
      <c r="B60" t="s">
        <v>154</v>
      </c>
      <c r="C60">
        <v>579</v>
      </c>
      <c r="D60">
        <v>366</v>
      </c>
      <c r="E60">
        <v>295</v>
      </c>
      <c r="F60">
        <v>423</v>
      </c>
      <c r="G60">
        <v>11</v>
      </c>
      <c r="H60">
        <v>578</v>
      </c>
    </row>
    <row r="61" spans="2:8">
      <c r="B61" t="s">
        <v>155</v>
      </c>
      <c r="C61">
        <v>764</v>
      </c>
      <c r="D61">
        <v>574</v>
      </c>
      <c r="E61">
        <v>471</v>
      </c>
      <c r="F61">
        <v>619</v>
      </c>
      <c r="G61">
        <v>213</v>
      </c>
      <c r="H61">
        <v>771</v>
      </c>
    </row>
    <row r="62" spans="2:8">
      <c r="B62" t="s">
        <v>156</v>
      </c>
      <c r="C62">
        <v>440</v>
      </c>
      <c r="D62">
        <v>469</v>
      </c>
      <c r="E62">
        <v>168</v>
      </c>
      <c r="F62">
        <v>291</v>
      </c>
      <c r="G62">
        <v>-55</v>
      </c>
      <c r="H62">
        <v>230</v>
      </c>
    </row>
    <row r="63" spans="2:8">
      <c r="B63" t="s">
        <v>157</v>
      </c>
    </row>
    <row r="64" spans="2:8">
      <c r="B64" t="s">
        <v>158</v>
      </c>
    </row>
    <row r="101" spans="2:9">
      <c r="B101" t="s">
        <v>618</v>
      </c>
    </row>
    <row r="102" spans="2:9">
      <c r="B102" t="s">
        <v>65</v>
      </c>
    </row>
    <row r="103" spans="2:9">
      <c r="B103" t="s">
        <v>93</v>
      </c>
      <c r="C103" t="s">
        <v>94</v>
      </c>
      <c r="D103" t="s">
        <v>95</v>
      </c>
      <c r="E103" t="s">
        <v>96</v>
      </c>
      <c r="F103" t="s">
        <v>97</v>
      </c>
      <c r="G103" t="s">
        <v>98</v>
      </c>
      <c r="H103" t="s">
        <v>99</v>
      </c>
      <c r="I103" t="s">
        <v>100</v>
      </c>
    </row>
    <row r="104" spans="2:9">
      <c r="B104" t="s">
        <v>227</v>
      </c>
      <c r="C104" s="117">
        <v>8167</v>
      </c>
      <c r="D104" s="117">
        <v>8494</v>
      </c>
      <c r="E104" s="117">
        <v>8741</v>
      </c>
      <c r="F104" s="117">
        <v>9074</v>
      </c>
      <c r="G104" s="117">
        <v>6850</v>
      </c>
      <c r="H104" s="117">
        <v>7191</v>
      </c>
      <c r="I104" s="117">
        <v>8785</v>
      </c>
    </row>
    <row r="105" spans="2:9">
      <c r="B105" t="s">
        <v>228</v>
      </c>
      <c r="C105">
        <v>628</v>
      </c>
      <c r="D105">
        <v>636</v>
      </c>
      <c r="E105">
        <v>617</v>
      </c>
      <c r="F105">
        <v>617</v>
      </c>
      <c r="G105">
        <v>620</v>
      </c>
      <c r="H105">
        <v>622</v>
      </c>
      <c r="I105">
        <v>576</v>
      </c>
    </row>
    <row r="106" spans="2:9">
      <c r="B106" t="s">
        <v>265</v>
      </c>
      <c r="C106" s="117">
        <v>9769</v>
      </c>
      <c r="D106" s="117">
        <v>7763</v>
      </c>
      <c r="E106" s="117">
        <v>5841</v>
      </c>
      <c r="F106" s="117">
        <v>6449</v>
      </c>
      <c r="G106" s="117">
        <v>5171</v>
      </c>
      <c r="H106" s="117">
        <v>6183</v>
      </c>
      <c r="I106" s="117">
        <v>4791</v>
      </c>
    </row>
    <row r="107" spans="2:9">
      <c r="B107" t="s">
        <v>229</v>
      </c>
      <c r="C107">
        <v>106</v>
      </c>
      <c r="D107">
        <v>86</v>
      </c>
      <c r="E107">
        <v>89</v>
      </c>
      <c r="F107">
        <v>93</v>
      </c>
      <c r="G107">
        <v>111</v>
      </c>
      <c r="H107">
        <v>145</v>
      </c>
      <c r="I107">
        <v>237</v>
      </c>
    </row>
    <row r="108" spans="2:9">
      <c r="B108" t="s">
        <v>266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</row>
    <row r="109" spans="2:9">
      <c r="B109" t="s">
        <v>16</v>
      </c>
      <c r="C109" s="117">
        <v>8721</v>
      </c>
      <c r="D109" s="117">
        <v>7190</v>
      </c>
      <c r="E109" s="117">
        <v>7416</v>
      </c>
      <c r="F109" s="117">
        <v>6220</v>
      </c>
      <c r="G109" s="117">
        <v>6816</v>
      </c>
      <c r="H109" s="117">
        <v>6522</v>
      </c>
      <c r="I109" s="117">
        <v>6828</v>
      </c>
    </row>
    <row r="110" spans="2:9">
      <c r="B110" t="s">
        <v>267</v>
      </c>
      <c r="C110" t="s">
        <v>145</v>
      </c>
      <c r="D110" t="s">
        <v>145</v>
      </c>
      <c r="E110" t="s">
        <v>145</v>
      </c>
      <c r="F110" t="s">
        <v>145</v>
      </c>
      <c r="G110" t="s">
        <v>145</v>
      </c>
      <c r="H110" t="s">
        <v>145</v>
      </c>
      <c r="I110" t="s">
        <v>145</v>
      </c>
    </row>
    <row r="111" spans="2:9">
      <c r="B111" t="s">
        <v>230</v>
      </c>
      <c r="C111">
        <v>446</v>
      </c>
      <c r="D111">
        <v>362</v>
      </c>
      <c r="E111">
        <v>458</v>
      </c>
      <c r="F111">
        <v>342</v>
      </c>
      <c r="G111">
        <v>335</v>
      </c>
      <c r="H111">
        <v>238</v>
      </c>
      <c r="I111">
        <v>400</v>
      </c>
    </row>
    <row r="112" spans="2:9">
      <c r="B112" t="s">
        <v>231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</row>
    <row r="113" spans="2:9">
      <c r="B113" t="s">
        <v>232</v>
      </c>
      <c r="C113" s="117">
        <v>28746</v>
      </c>
      <c r="D113" s="117">
        <v>25754</v>
      </c>
      <c r="E113" s="117">
        <v>24758</v>
      </c>
      <c r="F113" s="117">
        <v>24606</v>
      </c>
      <c r="G113" s="117">
        <v>21727</v>
      </c>
      <c r="H113" s="117">
        <v>22701</v>
      </c>
      <c r="I113" s="117">
        <v>21637</v>
      </c>
    </row>
    <row r="114" spans="2:9">
      <c r="B114" t="s">
        <v>233</v>
      </c>
      <c r="C114" s="117">
        <v>16255</v>
      </c>
      <c r="D114" s="117">
        <v>16128</v>
      </c>
      <c r="E114" s="117">
        <v>15470</v>
      </c>
      <c r="F114" s="117">
        <v>15396</v>
      </c>
      <c r="G114" s="117">
        <v>15131</v>
      </c>
      <c r="H114" s="117">
        <v>14724</v>
      </c>
      <c r="I114" s="117">
        <v>14557</v>
      </c>
    </row>
    <row r="115" spans="2:9">
      <c r="B115" t="s">
        <v>234</v>
      </c>
      <c r="C115" s="117">
        <v>1118</v>
      </c>
      <c r="D115" s="117">
        <v>1122</v>
      </c>
      <c r="E115" s="117">
        <v>1115</v>
      </c>
      <c r="F115" s="117">
        <v>1112</v>
      </c>
      <c r="G115" s="117">
        <v>1116</v>
      </c>
      <c r="H115" s="117">
        <v>1112</v>
      </c>
      <c r="I115" s="117">
        <v>1110</v>
      </c>
    </row>
    <row r="116" spans="2:9">
      <c r="B116" t="s">
        <v>235</v>
      </c>
      <c r="C116" s="117">
        <v>5203</v>
      </c>
      <c r="D116" s="117">
        <v>5261</v>
      </c>
      <c r="E116" s="117">
        <v>5135</v>
      </c>
      <c r="F116" s="117">
        <v>5116</v>
      </c>
      <c r="G116" s="117">
        <v>5196</v>
      </c>
      <c r="H116" s="117">
        <v>5201</v>
      </c>
      <c r="I116" s="117">
        <v>5137</v>
      </c>
    </row>
    <row r="117" spans="2:9">
      <c r="B117" t="s">
        <v>236</v>
      </c>
      <c r="C117" s="117">
        <v>2555</v>
      </c>
      <c r="D117" s="117">
        <v>2578</v>
      </c>
      <c r="E117" s="117">
        <v>3124</v>
      </c>
      <c r="F117" s="117">
        <v>3168</v>
      </c>
      <c r="G117" s="117">
        <v>3116</v>
      </c>
      <c r="H117" s="117">
        <v>3111</v>
      </c>
      <c r="I117" s="117">
        <v>3231</v>
      </c>
    </row>
    <row r="118" spans="2:9">
      <c r="B118" t="s">
        <v>237</v>
      </c>
      <c r="C118" s="117">
        <v>1877</v>
      </c>
      <c r="D118" s="117">
        <v>1886</v>
      </c>
      <c r="E118" s="117">
        <v>1984</v>
      </c>
      <c r="F118" s="117">
        <v>2033</v>
      </c>
      <c r="G118" s="117">
        <v>2021</v>
      </c>
      <c r="H118" s="117">
        <v>2001</v>
      </c>
      <c r="I118" s="117">
        <v>2053</v>
      </c>
    </row>
    <row r="119" spans="2:9">
      <c r="B119" t="s">
        <v>238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</row>
    <row r="120" spans="2:9">
      <c r="B120" t="s">
        <v>239</v>
      </c>
      <c r="C120" s="117">
        <v>-5683</v>
      </c>
      <c r="D120" s="117">
        <v>-5661</v>
      </c>
      <c r="E120" s="117">
        <v>-6252</v>
      </c>
      <c r="F120" s="117">
        <v>-6312</v>
      </c>
      <c r="G120" s="117">
        <v>-6341</v>
      </c>
      <c r="H120" s="117">
        <v>-6258</v>
      </c>
      <c r="I120" s="117">
        <v>-6399</v>
      </c>
    </row>
    <row r="121" spans="2:9">
      <c r="B121" t="s">
        <v>240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</row>
    <row r="122" spans="2:9">
      <c r="B122" t="s">
        <v>241</v>
      </c>
      <c r="C122">
        <v>77</v>
      </c>
      <c r="D122">
        <v>24</v>
      </c>
      <c r="E122">
        <v>31</v>
      </c>
      <c r="F122">
        <v>21</v>
      </c>
      <c r="G122">
        <v>22</v>
      </c>
      <c r="H122">
        <v>28</v>
      </c>
      <c r="I122">
        <v>27</v>
      </c>
    </row>
    <row r="123" spans="2:9">
      <c r="B123" t="s">
        <v>242</v>
      </c>
      <c r="C123" s="117">
        <v>5146</v>
      </c>
      <c r="D123" s="117">
        <v>5211</v>
      </c>
      <c r="E123" s="117">
        <v>5137</v>
      </c>
      <c r="F123" s="117">
        <v>5138</v>
      </c>
      <c r="G123" s="117">
        <v>5130</v>
      </c>
      <c r="H123" s="117">
        <v>5195</v>
      </c>
      <c r="I123" s="117">
        <v>5159</v>
      </c>
    </row>
    <row r="124" spans="2:9">
      <c r="B124" t="s">
        <v>243</v>
      </c>
      <c r="C124">
        <v>476</v>
      </c>
      <c r="D124">
        <v>443</v>
      </c>
      <c r="E124">
        <v>507</v>
      </c>
      <c r="F124">
        <v>539</v>
      </c>
      <c r="G124">
        <v>571</v>
      </c>
      <c r="H124">
        <v>566</v>
      </c>
      <c r="I124">
        <v>632</v>
      </c>
    </row>
    <row r="125" spans="2:9">
      <c r="B125" t="s">
        <v>244</v>
      </c>
      <c r="C125">
        <v>255</v>
      </c>
      <c r="D125">
        <v>317</v>
      </c>
      <c r="E125">
        <v>461</v>
      </c>
      <c r="F125">
        <v>478</v>
      </c>
      <c r="G125">
        <v>537</v>
      </c>
      <c r="H125">
        <v>594</v>
      </c>
      <c r="I125">
        <v>541</v>
      </c>
    </row>
    <row r="126" spans="2:9">
      <c r="B126" t="s">
        <v>245</v>
      </c>
      <c r="C126">
        <v>345</v>
      </c>
      <c r="D126">
        <v>350</v>
      </c>
      <c r="E126">
        <v>339</v>
      </c>
      <c r="F126">
        <v>331</v>
      </c>
      <c r="G126">
        <v>321</v>
      </c>
      <c r="H126">
        <v>330</v>
      </c>
      <c r="I126">
        <v>326</v>
      </c>
    </row>
    <row r="127" spans="2:9">
      <c r="B127" t="s">
        <v>246</v>
      </c>
      <c r="C127" s="117">
        <v>1075</v>
      </c>
      <c r="D127" s="117">
        <v>1110</v>
      </c>
      <c r="E127" s="117">
        <v>1307</v>
      </c>
      <c r="F127" s="117">
        <v>1349</v>
      </c>
      <c r="G127" s="117">
        <v>1429</v>
      </c>
      <c r="H127" s="117">
        <v>1491</v>
      </c>
      <c r="I127" s="117">
        <v>1498</v>
      </c>
    </row>
    <row r="128" spans="2:9">
      <c r="B128" t="s">
        <v>19</v>
      </c>
      <c r="C128" s="117">
        <v>51223</v>
      </c>
      <c r="D128" s="117">
        <v>48204</v>
      </c>
      <c r="E128" s="117">
        <v>46672</v>
      </c>
      <c r="F128" s="117">
        <v>46488</v>
      </c>
      <c r="G128" s="117">
        <v>43417</v>
      </c>
      <c r="H128" s="117">
        <v>44110</v>
      </c>
      <c r="I128" s="117">
        <v>42851</v>
      </c>
    </row>
    <row r="129" spans="2:9">
      <c r="B129" t="s">
        <v>268</v>
      </c>
      <c r="C129" s="117">
        <v>4021</v>
      </c>
      <c r="D129" s="117">
        <v>3591</v>
      </c>
      <c r="E129" s="117">
        <v>3709</v>
      </c>
      <c r="F129" s="117">
        <v>3838</v>
      </c>
      <c r="G129" s="117">
        <v>2589</v>
      </c>
      <c r="H129" s="117">
        <v>2109</v>
      </c>
      <c r="I129" s="117">
        <v>2748</v>
      </c>
    </row>
    <row r="130" spans="2:9">
      <c r="B130" t="s">
        <v>269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</row>
    <row r="131" spans="2:9">
      <c r="B131" t="s">
        <v>17</v>
      </c>
      <c r="C131" s="117">
        <v>9869</v>
      </c>
      <c r="D131" s="117">
        <v>7635</v>
      </c>
      <c r="E131" s="117">
        <v>6997</v>
      </c>
      <c r="F131" s="117">
        <v>6434</v>
      </c>
      <c r="G131" s="117">
        <v>5267</v>
      </c>
      <c r="H131" s="117">
        <v>6571</v>
      </c>
      <c r="I131" s="117">
        <v>5667</v>
      </c>
    </row>
    <row r="132" spans="2:9">
      <c r="B132" t="s">
        <v>247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</row>
    <row r="133" spans="2:9">
      <c r="B133" t="s">
        <v>248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</row>
    <row r="134" spans="2:9">
      <c r="B134" t="s">
        <v>249</v>
      </c>
      <c r="C134" s="117">
        <v>3495</v>
      </c>
      <c r="D134" s="117">
        <v>3508</v>
      </c>
      <c r="E134" s="117">
        <v>3455</v>
      </c>
      <c r="F134" s="117">
        <v>4195</v>
      </c>
      <c r="G134" s="117">
        <v>3250</v>
      </c>
      <c r="H134" s="117">
        <v>3566</v>
      </c>
      <c r="I134" s="117">
        <v>3461</v>
      </c>
    </row>
    <row r="135" spans="2:9">
      <c r="B135" t="s">
        <v>250</v>
      </c>
      <c r="C135">
        <v>210</v>
      </c>
      <c r="D135">
        <v>51</v>
      </c>
      <c r="E135">
        <v>72</v>
      </c>
      <c r="F135">
        <v>83</v>
      </c>
      <c r="G135">
        <v>67</v>
      </c>
      <c r="H135">
        <v>27</v>
      </c>
      <c r="I135">
        <v>72</v>
      </c>
    </row>
    <row r="136" spans="2:9">
      <c r="B136" t="s">
        <v>251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</row>
    <row r="137" spans="2:9">
      <c r="B137" t="s">
        <v>252</v>
      </c>
      <c r="C137">
        <v>643</v>
      </c>
      <c r="D137">
        <v>633</v>
      </c>
      <c r="E137">
        <v>663</v>
      </c>
      <c r="F137">
        <v>720</v>
      </c>
      <c r="G137">
        <v>721</v>
      </c>
      <c r="H137">
        <v>685</v>
      </c>
      <c r="I137">
        <v>691</v>
      </c>
    </row>
    <row r="138" spans="2:9">
      <c r="B138" t="s">
        <v>253</v>
      </c>
      <c r="C138" s="117">
        <v>18244</v>
      </c>
      <c r="D138" s="117">
        <v>15421</v>
      </c>
      <c r="E138" s="117">
        <v>14896</v>
      </c>
      <c r="F138" s="117">
        <v>15271</v>
      </c>
      <c r="G138" s="117">
        <v>11905</v>
      </c>
      <c r="H138" s="117">
        <v>12964</v>
      </c>
      <c r="I138" s="117">
        <v>12649</v>
      </c>
    </row>
    <row r="139" spans="2:9">
      <c r="B139" t="s">
        <v>254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</row>
    <row r="140" spans="2:9">
      <c r="B140" t="s">
        <v>255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</row>
    <row r="141" spans="2:9">
      <c r="B141" t="s">
        <v>256</v>
      </c>
      <c r="C141">
        <v>0</v>
      </c>
      <c r="D141">
        <v>238</v>
      </c>
      <c r="E141">
        <v>0</v>
      </c>
      <c r="F141">
        <v>0</v>
      </c>
      <c r="G141">
        <v>0</v>
      </c>
      <c r="H141">
        <v>196</v>
      </c>
      <c r="I141">
        <v>0</v>
      </c>
    </row>
    <row r="142" spans="2:9">
      <c r="B142" t="s">
        <v>257</v>
      </c>
      <c r="C142">
        <v>320</v>
      </c>
      <c r="D142">
        <v>332</v>
      </c>
      <c r="E142">
        <v>361</v>
      </c>
      <c r="F142">
        <v>362</v>
      </c>
      <c r="G142">
        <v>359</v>
      </c>
      <c r="H142">
        <v>359</v>
      </c>
      <c r="I142">
        <v>359</v>
      </c>
    </row>
    <row r="143" spans="2:9">
      <c r="B143" t="s">
        <v>258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</row>
    <row r="144" spans="2:9">
      <c r="B144" t="s">
        <v>259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</row>
    <row r="145" spans="2:9">
      <c r="B145" t="s">
        <v>260</v>
      </c>
      <c r="C145">
        <v>296</v>
      </c>
      <c r="D145">
        <v>61</v>
      </c>
      <c r="E145">
        <v>244</v>
      </c>
      <c r="F145">
        <v>238</v>
      </c>
      <c r="G145">
        <v>236</v>
      </c>
      <c r="H145">
        <v>38</v>
      </c>
      <c r="I145">
        <v>221</v>
      </c>
    </row>
    <row r="146" spans="2:9">
      <c r="B146" t="s">
        <v>261</v>
      </c>
      <c r="C146">
        <v>617</v>
      </c>
      <c r="D146">
        <v>631</v>
      </c>
      <c r="E146">
        <v>605</v>
      </c>
      <c r="F146">
        <v>599</v>
      </c>
      <c r="G146">
        <v>595</v>
      </c>
      <c r="H146">
        <v>592</v>
      </c>
      <c r="I146">
        <v>580</v>
      </c>
    </row>
    <row r="147" spans="2:9">
      <c r="B147" t="s">
        <v>18</v>
      </c>
      <c r="C147" s="117">
        <v>18861</v>
      </c>
      <c r="D147" s="117">
        <v>16052</v>
      </c>
      <c r="E147" s="117">
        <v>15502</v>
      </c>
      <c r="F147" s="117">
        <v>15870</v>
      </c>
      <c r="G147" s="117">
        <v>12500</v>
      </c>
      <c r="H147" s="117">
        <v>13556</v>
      </c>
      <c r="I147" s="117">
        <v>13228</v>
      </c>
    </row>
    <row r="148" spans="2:9">
      <c r="B148" t="s">
        <v>262</v>
      </c>
      <c r="C148" s="117">
        <v>32362</v>
      </c>
      <c r="D148" s="117">
        <v>32152</v>
      </c>
      <c r="E148" s="117">
        <v>31171</v>
      </c>
      <c r="F148" s="117">
        <v>30618</v>
      </c>
      <c r="G148" s="117">
        <v>30917</v>
      </c>
      <c r="H148" s="117">
        <v>30554</v>
      </c>
      <c r="I148" s="117">
        <v>29622</v>
      </c>
    </row>
    <row r="149" spans="2:9">
      <c r="B149" t="s">
        <v>270</v>
      </c>
      <c r="C149" s="117">
        <v>7665</v>
      </c>
      <c r="D149" s="117">
        <v>7694</v>
      </c>
      <c r="E149" s="117">
        <v>7697</v>
      </c>
      <c r="F149" s="117">
        <v>7659</v>
      </c>
      <c r="G149" s="117">
        <v>7649</v>
      </c>
      <c r="H149" s="117">
        <v>7609</v>
      </c>
      <c r="I149" s="117">
        <v>7556</v>
      </c>
    </row>
    <row r="150" spans="2:9">
      <c r="B150" t="s">
        <v>271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</row>
    <row r="151" spans="2:9">
      <c r="B151" t="s">
        <v>272</v>
      </c>
      <c r="C151" s="117">
        <v>22124</v>
      </c>
      <c r="D151" s="117">
        <v>22123</v>
      </c>
      <c r="E151" s="117">
        <v>22108</v>
      </c>
      <c r="F151" s="117">
        <v>22002</v>
      </c>
      <c r="G151" s="117">
        <v>21947</v>
      </c>
      <c r="H151" s="117">
        <v>21803</v>
      </c>
      <c r="I151" s="117">
        <v>21707</v>
      </c>
    </row>
    <row r="152" spans="2:9">
      <c r="B152" t="s">
        <v>273</v>
      </c>
      <c r="C152">
        <v>56</v>
      </c>
      <c r="D152">
        <v>56</v>
      </c>
      <c r="E152">
        <v>56</v>
      </c>
      <c r="F152">
        <v>56</v>
      </c>
      <c r="G152">
        <v>0</v>
      </c>
      <c r="H152">
        <v>0</v>
      </c>
      <c r="I152">
        <v>0</v>
      </c>
    </row>
    <row r="153" spans="2:9">
      <c r="B153" t="s">
        <v>274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</row>
    <row r="154" spans="2:9">
      <c r="B154" t="s">
        <v>275</v>
      </c>
      <c r="C154" s="117">
        <v>1206</v>
      </c>
      <c r="D154">
        <v>774</v>
      </c>
      <c r="E154">
        <v>547</v>
      </c>
      <c r="F154">
        <v>328</v>
      </c>
      <c r="G154">
        <v>525</v>
      </c>
      <c r="H154">
        <v>563</v>
      </c>
      <c r="I154">
        <v>76</v>
      </c>
    </row>
    <row r="155" spans="2:9">
      <c r="B155" t="s">
        <v>276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</row>
    <row r="156" spans="2:9">
      <c r="B156" t="s">
        <v>263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1</v>
      </c>
    </row>
    <row r="157" spans="2:9">
      <c r="B157" t="s">
        <v>264</v>
      </c>
      <c r="C157" s="117">
        <v>51223</v>
      </c>
      <c r="D157" s="117">
        <v>48204</v>
      </c>
      <c r="E157" s="117">
        <v>46672</v>
      </c>
      <c r="F157" s="117">
        <v>46488</v>
      </c>
      <c r="G157" s="117">
        <v>43417</v>
      </c>
      <c r="H157" s="117">
        <v>44110</v>
      </c>
      <c r="I157" s="117">
        <v>42851</v>
      </c>
    </row>
    <row r="158" spans="2:9">
      <c r="B158" t="s">
        <v>157</v>
      </c>
    </row>
    <row r="159" spans="2:9">
      <c r="B159" t="s">
        <v>158</v>
      </c>
    </row>
    <row r="201" spans="2:8">
      <c r="B201" t="s">
        <v>617</v>
      </c>
    </row>
    <row r="202" spans="2:8">
      <c r="B202" t="s">
        <v>65</v>
      </c>
    </row>
    <row r="203" spans="2:8">
      <c r="B203" t="s">
        <v>93</v>
      </c>
      <c r="C203" t="s">
        <v>94</v>
      </c>
      <c r="D203" t="s">
        <v>95</v>
      </c>
      <c r="E203" t="s">
        <v>96</v>
      </c>
      <c r="F203" t="s">
        <v>97</v>
      </c>
      <c r="G203" t="s">
        <v>98</v>
      </c>
      <c r="H203" t="s">
        <v>99</v>
      </c>
    </row>
    <row r="204" spans="2:8">
      <c r="B204" t="s">
        <v>159</v>
      </c>
      <c r="C204">
        <v>432</v>
      </c>
      <c r="D204">
        <v>269</v>
      </c>
      <c r="E204">
        <v>218</v>
      </c>
      <c r="F204">
        <v>312</v>
      </c>
      <c r="G204">
        <v>-38</v>
      </c>
      <c r="H204">
        <v>495</v>
      </c>
    </row>
    <row r="205" spans="2:8">
      <c r="B205" t="s">
        <v>160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</row>
    <row r="206" spans="2:8">
      <c r="B206" t="s">
        <v>161</v>
      </c>
      <c r="C206">
        <v>116</v>
      </c>
      <c r="D206">
        <v>120</v>
      </c>
      <c r="E206">
        <v>105</v>
      </c>
      <c r="F206">
        <v>126</v>
      </c>
      <c r="G206">
        <v>135</v>
      </c>
      <c r="H206">
        <v>134</v>
      </c>
    </row>
    <row r="207" spans="2:8">
      <c r="B207" t="s">
        <v>162</v>
      </c>
      <c r="C207">
        <v>68</v>
      </c>
      <c r="D207">
        <v>88</v>
      </c>
      <c r="E207">
        <v>72</v>
      </c>
      <c r="F207">
        <v>70</v>
      </c>
      <c r="G207">
        <v>67</v>
      </c>
      <c r="H207">
        <v>59</v>
      </c>
    </row>
    <row r="208" spans="2:8">
      <c r="B208" t="s">
        <v>163</v>
      </c>
      <c r="C208">
        <v>-358</v>
      </c>
      <c r="D208">
        <v>-438</v>
      </c>
      <c r="E208">
        <v>-304</v>
      </c>
      <c r="F208">
        <v>-280</v>
      </c>
      <c r="G208">
        <v>-191</v>
      </c>
      <c r="H208">
        <v>-282</v>
      </c>
    </row>
    <row r="209" spans="2:8">
      <c r="B209" t="s">
        <v>164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</row>
    <row r="210" spans="2:8">
      <c r="B210" t="s">
        <v>165</v>
      </c>
      <c r="C210">
        <v>0</v>
      </c>
      <c r="D210">
        <v>5</v>
      </c>
      <c r="E210">
        <v>100</v>
      </c>
      <c r="F210">
        <v>0</v>
      </c>
      <c r="G210">
        <v>0</v>
      </c>
      <c r="H210">
        <v>14</v>
      </c>
    </row>
    <row r="211" spans="2:8">
      <c r="B211" t="s">
        <v>166</v>
      </c>
      <c r="C211" t="s">
        <v>145</v>
      </c>
      <c r="D211" t="s">
        <v>145</v>
      </c>
      <c r="E211" t="s">
        <v>145</v>
      </c>
      <c r="F211" t="s">
        <v>145</v>
      </c>
      <c r="G211" t="s">
        <v>145</v>
      </c>
      <c r="H211" t="s">
        <v>145</v>
      </c>
    </row>
    <row r="212" spans="2:8">
      <c r="B212" t="s">
        <v>167</v>
      </c>
      <c r="C212">
        <v>0</v>
      </c>
      <c r="D212">
        <v>-10</v>
      </c>
      <c r="E212">
        <v>-16</v>
      </c>
      <c r="F212">
        <v>0</v>
      </c>
      <c r="G212">
        <v>-1</v>
      </c>
      <c r="H212">
        <v>-5</v>
      </c>
    </row>
    <row r="213" spans="2:8">
      <c r="B213" t="s">
        <v>168</v>
      </c>
      <c r="C213">
        <v>0</v>
      </c>
      <c r="D213">
        <v>-11</v>
      </c>
      <c r="E213">
        <v>-7</v>
      </c>
      <c r="F213">
        <v>-10</v>
      </c>
      <c r="G213">
        <v>-32</v>
      </c>
      <c r="H213">
        <v>-243</v>
      </c>
    </row>
    <row r="214" spans="2:8">
      <c r="B214" t="s">
        <v>169</v>
      </c>
      <c r="C214">
        <v>0</v>
      </c>
      <c r="D214">
        <v>-2</v>
      </c>
      <c r="E214">
        <v>1</v>
      </c>
      <c r="F214">
        <v>1</v>
      </c>
      <c r="G214">
        <v>1</v>
      </c>
      <c r="H214">
        <v>-2</v>
      </c>
    </row>
    <row r="215" spans="2:8">
      <c r="B215" t="s">
        <v>170</v>
      </c>
      <c r="C215" s="117">
        <v>-2006</v>
      </c>
      <c r="D215" s="117">
        <v>-1922</v>
      </c>
      <c r="E215">
        <v>609</v>
      </c>
      <c r="F215" s="117">
        <v>-1278</v>
      </c>
      <c r="G215" s="117">
        <v>1011</v>
      </c>
      <c r="H215" t="s">
        <v>145</v>
      </c>
    </row>
    <row r="216" spans="2:8">
      <c r="B216" t="s">
        <v>171</v>
      </c>
      <c r="C216" s="117">
        <v>-1531</v>
      </c>
      <c r="D216">
        <v>226</v>
      </c>
      <c r="E216" s="117">
        <v>-1195</v>
      </c>
      <c r="F216">
        <v>596</v>
      </c>
      <c r="G216">
        <v>-294</v>
      </c>
      <c r="H216" t="s">
        <v>145</v>
      </c>
    </row>
    <row r="217" spans="2:8">
      <c r="B217" t="s">
        <v>172</v>
      </c>
      <c r="C217" s="117">
        <v>2234</v>
      </c>
      <c r="D217">
        <v>638</v>
      </c>
      <c r="E217">
        <v>563</v>
      </c>
      <c r="F217" s="117">
        <v>1167</v>
      </c>
      <c r="G217" s="117">
        <v>-1304</v>
      </c>
      <c r="H217" t="s">
        <v>145</v>
      </c>
    </row>
    <row r="218" spans="2:8">
      <c r="B218" t="s">
        <v>173</v>
      </c>
      <c r="C218">
        <v>-30</v>
      </c>
      <c r="D218">
        <v>242</v>
      </c>
      <c r="E218">
        <v>-253</v>
      </c>
      <c r="F218">
        <v>511</v>
      </c>
      <c r="G218">
        <v>-300</v>
      </c>
      <c r="H218">
        <v>161</v>
      </c>
    </row>
    <row r="219" spans="2:8">
      <c r="B219" t="s">
        <v>20</v>
      </c>
      <c r="C219" s="117">
        <v>-1062</v>
      </c>
      <c r="D219">
        <v>-569</v>
      </c>
      <c r="E219">
        <v>-104</v>
      </c>
      <c r="F219" s="117">
        <v>1221</v>
      </c>
      <c r="G219">
        <v>-918</v>
      </c>
      <c r="H219">
        <v>327</v>
      </c>
    </row>
    <row r="220" spans="2:8">
      <c r="B220" t="s">
        <v>174</v>
      </c>
      <c r="C220">
        <v>24</v>
      </c>
      <c r="D220">
        <v>23</v>
      </c>
      <c r="E220">
        <v>-34</v>
      </c>
      <c r="F220">
        <v>6</v>
      </c>
      <c r="G220">
        <v>43</v>
      </c>
      <c r="H220">
        <v>-29</v>
      </c>
    </row>
    <row r="221" spans="2:8">
      <c r="B221" t="s">
        <v>175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581</v>
      </c>
    </row>
    <row r="222" spans="2:8">
      <c r="B222" t="s">
        <v>22</v>
      </c>
      <c r="C222">
        <v>0</v>
      </c>
      <c r="D222">
        <v>0</v>
      </c>
      <c r="E222">
        <v>-8</v>
      </c>
      <c r="F222">
        <v>0</v>
      </c>
      <c r="G222">
        <v>0</v>
      </c>
      <c r="H222">
        <v>0</v>
      </c>
    </row>
    <row r="223" spans="2:8">
      <c r="B223" t="s">
        <v>176</v>
      </c>
      <c r="C223">
        <v>2</v>
      </c>
      <c r="D223">
        <v>33</v>
      </c>
      <c r="E223">
        <v>11</v>
      </c>
      <c r="F223">
        <v>1</v>
      </c>
      <c r="G223">
        <v>4</v>
      </c>
      <c r="H223">
        <v>6</v>
      </c>
    </row>
    <row r="224" spans="2:8">
      <c r="B224" t="s">
        <v>21</v>
      </c>
      <c r="C224">
        <v>-102</v>
      </c>
      <c r="D224">
        <v>-110</v>
      </c>
      <c r="E224">
        <v>-89</v>
      </c>
      <c r="F224">
        <v>-199</v>
      </c>
      <c r="G224">
        <v>-54</v>
      </c>
      <c r="H224">
        <v>-113</v>
      </c>
    </row>
    <row r="225" spans="2:8">
      <c r="B225" t="s">
        <v>177</v>
      </c>
      <c r="C225">
        <v>305</v>
      </c>
      <c r="D225">
        <v>356</v>
      </c>
      <c r="E225">
        <v>115</v>
      </c>
      <c r="F225">
        <v>9</v>
      </c>
      <c r="G225">
        <v>-12</v>
      </c>
      <c r="H225" s="117">
        <v>-1873</v>
      </c>
    </row>
    <row r="226" spans="2:8">
      <c r="B226" t="s">
        <v>178</v>
      </c>
      <c r="C226">
        <v>230</v>
      </c>
      <c r="D226">
        <v>301</v>
      </c>
      <c r="E226">
        <v>58</v>
      </c>
      <c r="F226">
        <v>-206</v>
      </c>
      <c r="G226">
        <v>-19</v>
      </c>
      <c r="H226" s="117">
        <v>-1453</v>
      </c>
    </row>
    <row r="227" spans="2:8">
      <c r="B227" t="s">
        <v>179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</row>
    <row r="228" spans="2:8">
      <c r="B228" t="s">
        <v>180</v>
      </c>
      <c r="C228">
        <v>0</v>
      </c>
      <c r="D228">
        <v>0</v>
      </c>
      <c r="E228">
        <v>-445</v>
      </c>
      <c r="F228">
        <v>0</v>
      </c>
      <c r="G228">
        <v>0</v>
      </c>
      <c r="H228">
        <v>0</v>
      </c>
    </row>
    <row r="229" spans="2:8">
      <c r="B229" t="s">
        <v>181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</row>
    <row r="230" spans="2:8">
      <c r="B230" t="s">
        <v>182</v>
      </c>
      <c r="C230">
        <v>430</v>
      </c>
      <c r="D230">
        <v>-119</v>
      </c>
      <c r="E230">
        <v>-128</v>
      </c>
      <c r="F230" s="117">
        <v>1248</v>
      </c>
      <c r="G230">
        <v>480</v>
      </c>
      <c r="H230" t="s">
        <v>145</v>
      </c>
    </row>
    <row r="231" spans="2:8">
      <c r="B231" t="s">
        <v>183</v>
      </c>
      <c r="C231">
        <v>0</v>
      </c>
      <c r="D231">
        <v>0</v>
      </c>
      <c r="E231">
        <v>0</v>
      </c>
      <c r="F231">
        <v>0</v>
      </c>
      <c r="G231">
        <v>0</v>
      </c>
      <c r="H231" t="s">
        <v>145</v>
      </c>
    </row>
    <row r="232" spans="2:8">
      <c r="B232" t="s">
        <v>184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</row>
    <row r="233" spans="2:8">
      <c r="B233" t="s">
        <v>185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</row>
    <row r="234" spans="2:8">
      <c r="B234" t="s">
        <v>186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</row>
    <row r="235" spans="2:8">
      <c r="B235" t="s">
        <v>187</v>
      </c>
      <c r="C235">
        <v>-1</v>
      </c>
      <c r="D235">
        <v>12</v>
      </c>
      <c r="E235">
        <v>5</v>
      </c>
      <c r="F235">
        <v>3</v>
      </c>
      <c r="G235">
        <v>0</v>
      </c>
      <c r="H235">
        <v>-638</v>
      </c>
    </row>
    <row r="236" spans="2:8">
      <c r="B236" t="s">
        <v>188</v>
      </c>
      <c r="C236">
        <v>439</v>
      </c>
      <c r="D236">
        <v>-84</v>
      </c>
      <c r="E236">
        <v>-406</v>
      </c>
      <c r="F236" s="117">
        <v>1276</v>
      </c>
      <c r="G236">
        <v>575</v>
      </c>
      <c r="H236">
        <v>-515</v>
      </c>
    </row>
    <row r="237" spans="2:8">
      <c r="B237" t="s">
        <v>189</v>
      </c>
      <c r="C237">
        <v>67</v>
      </c>
      <c r="D237">
        <v>106</v>
      </c>
      <c r="E237">
        <v>118</v>
      </c>
      <c r="F237">
        <v>-68</v>
      </c>
      <c r="G237">
        <v>22</v>
      </c>
      <c r="H237">
        <v>47</v>
      </c>
    </row>
    <row r="238" spans="2:8">
      <c r="B238" t="s">
        <v>190</v>
      </c>
      <c r="C238">
        <v>-327</v>
      </c>
      <c r="D238">
        <v>-246</v>
      </c>
      <c r="E238">
        <v>-334</v>
      </c>
      <c r="F238" s="117">
        <v>2224</v>
      </c>
      <c r="G238">
        <v>-340</v>
      </c>
      <c r="H238" s="117">
        <v>-1594</v>
      </c>
    </row>
    <row r="239" spans="2:8">
      <c r="B239" t="s">
        <v>191</v>
      </c>
      <c r="C239" s="117">
        <v>8494</v>
      </c>
      <c r="D239" s="117">
        <v>8741</v>
      </c>
      <c r="E239" s="117">
        <v>9074</v>
      </c>
      <c r="F239" s="117">
        <v>6850</v>
      </c>
      <c r="G239" s="117">
        <v>7191</v>
      </c>
      <c r="H239" s="117">
        <v>8785</v>
      </c>
    </row>
    <row r="240" spans="2:8">
      <c r="B240" t="s">
        <v>192</v>
      </c>
      <c r="C240" s="117">
        <v>8167</v>
      </c>
      <c r="D240" s="117">
        <v>8494</v>
      </c>
      <c r="E240" s="117">
        <v>8741</v>
      </c>
      <c r="F240" s="117">
        <v>9074</v>
      </c>
      <c r="G240" s="117">
        <v>6850</v>
      </c>
      <c r="H240" s="117">
        <v>7191</v>
      </c>
    </row>
    <row r="241" spans="2:8">
      <c r="B241" t="s">
        <v>193</v>
      </c>
      <c r="C241">
        <v>10</v>
      </c>
      <c r="D241">
        <v>13</v>
      </c>
      <c r="E241">
        <v>8</v>
      </c>
      <c r="F241">
        <v>11</v>
      </c>
      <c r="G241">
        <v>8</v>
      </c>
      <c r="H241">
        <v>5</v>
      </c>
    </row>
    <row r="242" spans="2:8">
      <c r="B242" t="s">
        <v>194</v>
      </c>
      <c r="C242" t="s">
        <v>145</v>
      </c>
      <c r="D242" t="s">
        <v>145</v>
      </c>
      <c r="E242" t="s">
        <v>145</v>
      </c>
      <c r="F242" t="s">
        <v>145</v>
      </c>
      <c r="G242" t="s">
        <v>145</v>
      </c>
      <c r="H242" t="s">
        <v>145</v>
      </c>
    </row>
    <row r="243" spans="2:8">
      <c r="B243" t="s">
        <v>195</v>
      </c>
    </row>
    <row r="244" spans="2:8">
      <c r="B244" t="s">
        <v>196</v>
      </c>
    </row>
    <row r="245" spans="2:8">
      <c r="B245" t="s">
        <v>157</v>
      </c>
    </row>
    <row r="246" spans="2:8">
      <c r="B246" t="s">
        <v>158</v>
      </c>
    </row>
  </sheetData>
  <sheetProtection sheet="1" objects="1" scenarios="1"/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J246"/>
  <sheetViews>
    <sheetView workbookViewId="0">
      <selection sqref="A1:XFD1000"/>
    </sheetView>
  </sheetViews>
  <sheetFormatPr defaultRowHeight="16.5"/>
  <cols>
    <col min="2" max="2" width="81" customWidth="1"/>
    <col min="3" max="10" width="7.375" customWidth="1"/>
  </cols>
  <sheetData>
    <row r="2" spans="2:10">
      <c r="B2" t="s">
        <v>619</v>
      </c>
    </row>
    <row r="3" spans="2:10">
      <c r="B3" t="s">
        <v>65</v>
      </c>
    </row>
    <row r="4" spans="2:10">
      <c r="B4" t="s">
        <v>93</v>
      </c>
      <c r="C4" t="s">
        <v>94</v>
      </c>
      <c r="D4" t="s">
        <v>95</v>
      </c>
      <c r="E4" t="s">
        <v>96</v>
      </c>
      <c r="F4" t="s">
        <v>97</v>
      </c>
      <c r="G4" t="s">
        <v>98</v>
      </c>
      <c r="H4" t="s">
        <v>99</v>
      </c>
      <c r="I4" t="s">
        <v>100</v>
      </c>
      <c r="J4" t="s">
        <v>101</v>
      </c>
    </row>
    <row r="5" spans="2:10">
      <c r="B5" t="s">
        <v>11</v>
      </c>
      <c r="C5">
        <v>129</v>
      </c>
      <c r="D5">
        <v>110</v>
      </c>
      <c r="E5">
        <v>137</v>
      </c>
      <c r="F5">
        <v>100</v>
      </c>
      <c r="G5">
        <v>82</v>
      </c>
      <c r="H5">
        <v>109</v>
      </c>
      <c r="I5">
        <v>105</v>
      </c>
      <c r="J5">
        <v>126</v>
      </c>
    </row>
    <row r="6" spans="2:10">
      <c r="B6" t="s">
        <v>12</v>
      </c>
      <c r="C6">
        <v>91</v>
      </c>
      <c r="D6">
        <v>87</v>
      </c>
      <c r="E6">
        <v>99</v>
      </c>
      <c r="F6">
        <v>73</v>
      </c>
      <c r="G6">
        <v>70</v>
      </c>
      <c r="H6">
        <v>80</v>
      </c>
      <c r="I6">
        <v>81</v>
      </c>
      <c r="J6">
        <v>90</v>
      </c>
    </row>
    <row r="7" spans="2:10">
      <c r="B7" t="s">
        <v>102</v>
      </c>
      <c r="C7">
        <v>38</v>
      </c>
      <c r="D7">
        <v>23</v>
      </c>
      <c r="E7">
        <v>38</v>
      </c>
      <c r="F7">
        <v>26</v>
      </c>
      <c r="G7">
        <v>11</v>
      </c>
      <c r="H7">
        <v>29</v>
      </c>
      <c r="I7">
        <v>24</v>
      </c>
      <c r="J7">
        <v>36</v>
      </c>
    </row>
    <row r="8" spans="2:10">
      <c r="B8" t="s">
        <v>103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2:10">
      <c r="B9" t="s">
        <v>104</v>
      </c>
      <c r="C9">
        <v>38</v>
      </c>
      <c r="D9">
        <v>23</v>
      </c>
      <c r="E9">
        <v>38</v>
      </c>
      <c r="F9">
        <v>26</v>
      </c>
      <c r="G9">
        <v>11</v>
      </c>
      <c r="H9">
        <v>29</v>
      </c>
      <c r="I9">
        <v>24</v>
      </c>
      <c r="J9">
        <v>36</v>
      </c>
    </row>
    <row r="10" spans="2:10">
      <c r="B10" t="s">
        <v>105</v>
      </c>
      <c r="C10">
        <v>40</v>
      </c>
      <c r="D10">
        <v>35</v>
      </c>
      <c r="E10">
        <v>37</v>
      </c>
      <c r="F10">
        <v>38</v>
      </c>
      <c r="G10">
        <v>42</v>
      </c>
      <c r="H10">
        <v>38</v>
      </c>
      <c r="I10">
        <v>41</v>
      </c>
      <c r="J10">
        <v>43</v>
      </c>
    </row>
    <row r="11" spans="2:10">
      <c r="B11" t="s">
        <v>106</v>
      </c>
      <c r="C11">
        <v>8</v>
      </c>
      <c r="D11">
        <v>4</v>
      </c>
      <c r="E11">
        <v>6</v>
      </c>
      <c r="F11">
        <v>7</v>
      </c>
      <c r="G11">
        <v>9</v>
      </c>
      <c r="H11">
        <v>7</v>
      </c>
      <c r="I11">
        <v>8</v>
      </c>
      <c r="J11">
        <v>8</v>
      </c>
    </row>
    <row r="12" spans="2:10">
      <c r="B12" t="s">
        <v>107</v>
      </c>
      <c r="C12">
        <v>23</v>
      </c>
      <c r="D12">
        <v>24</v>
      </c>
      <c r="E12">
        <v>20</v>
      </c>
      <c r="F12">
        <v>19</v>
      </c>
      <c r="G12">
        <v>21</v>
      </c>
      <c r="H12">
        <v>20</v>
      </c>
      <c r="I12">
        <v>23</v>
      </c>
      <c r="J12">
        <v>24</v>
      </c>
    </row>
    <row r="13" spans="2:10">
      <c r="B13" t="s">
        <v>108</v>
      </c>
      <c r="C13">
        <v>10</v>
      </c>
      <c r="D13">
        <v>7</v>
      </c>
      <c r="E13">
        <v>10</v>
      </c>
      <c r="F13">
        <v>12</v>
      </c>
      <c r="G13">
        <v>12</v>
      </c>
      <c r="H13">
        <v>10</v>
      </c>
      <c r="I13">
        <v>11</v>
      </c>
      <c r="J13">
        <v>11</v>
      </c>
    </row>
    <row r="14" spans="2:10">
      <c r="B14" t="s">
        <v>109</v>
      </c>
      <c r="C14">
        <v>-2</v>
      </c>
      <c r="D14">
        <v>-13</v>
      </c>
      <c r="E14">
        <v>1</v>
      </c>
      <c r="F14">
        <v>-12</v>
      </c>
      <c r="G14">
        <v>-31</v>
      </c>
      <c r="H14">
        <v>-8</v>
      </c>
      <c r="I14">
        <v>-17</v>
      </c>
      <c r="J14">
        <v>-7</v>
      </c>
    </row>
    <row r="15" spans="2:10">
      <c r="B15" t="s">
        <v>110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</row>
    <row r="16" spans="2:10">
      <c r="B16" t="s">
        <v>111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-1</v>
      </c>
    </row>
    <row r="17" spans="2:10">
      <c r="B17" t="s">
        <v>112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</row>
    <row r="18" spans="2:10">
      <c r="B18" t="s">
        <v>113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2:10">
      <c r="B19" t="s">
        <v>114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</row>
    <row r="20" spans="2:10">
      <c r="B20" t="s">
        <v>115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</row>
    <row r="21" spans="2:10">
      <c r="B21" t="s">
        <v>116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</row>
    <row r="22" spans="2:10">
      <c r="B22" t="s">
        <v>117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</row>
    <row r="23" spans="2:10">
      <c r="B23" t="s">
        <v>118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2:10">
      <c r="B24" t="s">
        <v>119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</row>
    <row r="25" spans="2:10">
      <c r="B25" t="s">
        <v>120</v>
      </c>
      <c r="C25">
        <v>0</v>
      </c>
      <c r="D25">
        <v>7</v>
      </c>
      <c r="E25">
        <v>2</v>
      </c>
      <c r="F25">
        <v>-2</v>
      </c>
      <c r="G25">
        <v>3</v>
      </c>
      <c r="H25">
        <v>5</v>
      </c>
      <c r="I25">
        <v>-2</v>
      </c>
      <c r="J25">
        <v>2</v>
      </c>
    </row>
    <row r="26" spans="2:10">
      <c r="B26" t="s">
        <v>121</v>
      </c>
      <c r="C26">
        <v>4</v>
      </c>
      <c r="D26">
        <v>2</v>
      </c>
      <c r="E26">
        <v>0</v>
      </c>
      <c r="F26">
        <v>0</v>
      </c>
      <c r="G26">
        <v>0</v>
      </c>
      <c r="H26">
        <v>-2</v>
      </c>
      <c r="I26">
        <v>4</v>
      </c>
      <c r="J26">
        <v>2</v>
      </c>
    </row>
    <row r="27" spans="2:10">
      <c r="B27" t="s">
        <v>122</v>
      </c>
      <c r="C27">
        <v>4</v>
      </c>
      <c r="D27">
        <v>9</v>
      </c>
      <c r="E27">
        <v>2</v>
      </c>
      <c r="F27">
        <v>-2</v>
      </c>
      <c r="G27">
        <v>3</v>
      </c>
      <c r="H27">
        <v>3</v>
      </c>
      <c r="I27">
        <v>2</v>
      </c>
      <c r="J27">
        <v>3</v>
      </c>
    </row>
    <row r="28" spans="2:10">
      <c r="B28" t="s">
        <v>123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  <c r="J28">
        <v>1</v>
      </c>
    </row>
    <row r="29" spans="2:10">
      <c r="B29" t="s">
        <v>124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</row>
    <row r="30" spans="2:10">
      <c r="B30" t="s">
        <v>125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>
        <v>5</v>
      </c>
    </row>
    <row r="31" spans="2:10">
      <c r="B31" t="s">
        <v>126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2</v>
      </c>
      <c r="J31">
        <v>0</v>
      </c>
    </row>
    <row r="32" spans="2:10">
      <c r="B32" t="s">
        <v>127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</row>
    <row r="33" spans="2:10">
      <c r="B33" t="s">
        <v>128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</row>
    <row r="34" spans="2:10">
      <c r="B34" t="s">
        <v>129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2:10">
      <c r="B35" t="s">
        <v>130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2:10">
      <c r="B36" t="s">
        <v>131</v>
      </c>
      <c r="C36">
        <v>0</v>
      </c>
      <c r="D36">
        <v>0</v>
      </c>
      <c r="E36">
        <v>0</v>
      </c>
      <c r="F36">
        <v>0</v>
      </c>
      <c r="G36">
        <v>0</v>
      </c>
      <c r="H36">
        <v>26</v>
      </c>
      <c r="I36">
        <v>25</v>
      </c>
      <c r="J36">
        <v>0</v>
      </c>
    </row>
    <row r="37" spans="2:10">
      <c r="B37" t="s">
        <v>132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2:10">
      <c r="B38" t="s">
        <v>133</v>
      </c>
      <c r="C38">
        <v>1</v>
      </c>
      <c r="D38">
        <v>2</v>
      </c>
      <c r="E38">
        <v>0</v>
      </c>
      <c r="F38">
        <v>0</v>
      </c>
      <c r="G38">
        <v>0</v>
      </c>
      <c r="H38">
        <v>3</v>
      </c>
      <c r="I38">
        <v>0</v>
      </c>
      <c r="J38">
        <v>0</v>
      </c>
    </row>
    <row r="39" spans="2:10">
      <c r="B39" t="s">
        <v>134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  <row r="40" spans="2:10">
      <c r="B40" t="s">
        <v>135</v>
      </c>
      <c r="C40">
        <v>0</v>
      </c>
      <c r="D40">
        <v>-1</v>
      </c>
      <c r="E40">
        <v>0</v>
      </c>
      <c r="F40">
        <v>-1</v>
      </c>
      <c r="G40">
        <v>2</v>
      </c>
      <c r="H40">
        <v>8</v>
      </c>
      <c r="I40">
        <v>0</v>
      </c>
      <c r="J40">
        <v>0</v>
      </c>
    </row>
    <row r="41" spans="2:10">
      <c r="B41" t="s">
        <v>136</v>
      </c>
      <c r="C41">
        <v>1</v>
      </c>
      <c r="D41">
        <v>1</v>
      </c>
      <c r="E41">
        <v>1</v>
      </c>
      <c r="F41">
        <v>0</v>
      </c>
      <c r="G41">
        <v>3</v>
      </c>
      <c r="H41">
        <v>38</v>
      </c>
      <c r="I41">
        <v>29</v>
      </c>
      <c r="J41">
        <v>6</v>
      </c>
    </row>
    <row r="42" spans="2:10">
      <c r="B42" t="s">
        <v>137</v>
      </c>
      <c r="C42">
        <v>1</v>
      </c>
      <c r="D42">
        <v>-4</v>
      </c>
      <c r="E42">
        <v>2</v>
      </c>
      <c r="F42">
        <v>-13</v>
      </c>
      <c r="G42">
        <v>-30</v>
      </c>
      <c r="H42">
        <v>-43</v>
      </c>
      <c r="I42">
        <v>-45</v>
      </c>
      <c r="J42">
        <v>-10</v>
      </c>
    </row>
    <row r="43" spans="2:10">
      <c r="B43" t="s">
        <v>138</v>
      </c>
      <c r="C43">
        <v>0</v>
      </c>
      <c r="D43">
        <v>-4</v>
      </c>
      <c r="E43">
        <v>1</v>
      </c>
      <c r="F43">
        <v>1</v>
      </c>
      <c r="G43">
        <v>-2</v>
      </c>
      <c r="H43">
        <v>-1</v>
      </c>
      <c r="I43">
        <v>0</v>
      </c>
      <c r="J43">
        <v>-1</v>
      </c>
    </row>
    <row r="44" spans="2:10">
      <c r="B44" t="s">
        <v>139</v>
      </c>
      <c r="C44">
        <v>0</v>
      </c>
      <c r="D44">
        <v>-1</v>
      </c>
      <c r="E44">
        <v>1</v>
      </c>
      <c r="F44">
        <v>-14</v>
      </c>
      <c r="G44">
        <v>-28</v>
      </c>
      <c r="H44">
        <v>-42</v>
      </c>
      <c r="I44">
        <v>-45</v>
      </c>
      <c r="J44">
        <v>-8</v>
      </c>
    </row>
    <row r="45" spans="2:10">
      <c r="B45" t="s">
        <v>140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2:10">
      <c r="B46" t="s">
        <v>141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2:10">
      <c r="B47" t="s">
        <v>142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2:10">
      <c r="B48" t="s">
        <v>143</v>
      </c>
      <c r="C48">
        <v>0</v>
      </c>
      <c r="D48">
        <v>-1</v>
      </c>
      <c r="E48">
        <v>1</v>
      </c>
      <c r="F48">
        <v>-14</v>
      </c>
      <c r="G48">
        <v>-28</v>
      </c>
      <c r="H48">
        <v>-42</v>
      </c>
      <c r="I48">
        <v>-45</v>
      </c>
      <c r="J48">
        <v>-8</v>
      </c>
    </row>
    <row r="49" spans="2:10">
      <c r="B49" t="s">
        <v>144</v>
      </c>
      <c r="C49" t="s">
        <v>145</v>
      </c>
      <c r="D49" t="s">
        <v>145</v>
      </c>
      <c r="E49" t="s">
        <v>145</v>
      </c>
      <c r="F49" t="s">
        <v>145</v>
      </c>
      <c r="G49" t="s">
        <v>145</v>
      </c>
      <c r="H49" t="s">
        <v>145</v>
      </c>
      <c r="I49" t="s">
        <v>145</v>
      </c>
      <c r="J49" t="s">
        <v>145</v>
      </c>
    </row>
    <row r="50" spans="2:10">
      <c r="B50" t="s">
        <v>146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2:10">
      <c r="B51" t="s">
        <v>147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2:10">
      <c r="B52" t="s">
        <v>14</v>
      </c>
      <c r="C52">
        <v>0</v>
      </c>
      <c r="D52">
        <v>-1</v>
      </c>
      <c r="E52">
        <v>1</v>
      </c>
      <c r="F52">
        <v>-14</v>
      </c>
      <c r="G52">
        <v>-28</v>
      </c>
      <c r="H52">
        <v>-42</v>
      </c>
      <c r="I52">
        <v>-44</v>
      </c>
      <c r="J52">
        <v>-8</v>
      </c>
    </row>
    <row r="53" spans="2:10">
      <c r="B53" t="s">
        <v>15</v>
      </c>
      <c r="C53">
        <v>0.01</v>
      </c>
      <c r="D53">
        <v>-0.01</v>
      </c>
      <c r="E53">
        <v>0.03</v>
      </c>
      <c r="F53">
        <v>-0.26</v>
      </c>
      <c r="G53">
        <v>-0.52</v>
      </c>
      <c r="H53">
        <v>-0.76</v>
      </c>
      <c r="I53">
        <v>-0.81</v>
      </c>
      <c r="J53">
        <v>-0.15</v>
      </c>
    </row>
    <row r="54" spans="2:10">
      <c r="B54" t="s">
        <v>148</v>
      </c>
      <c r="C54">
        <v>0.01</v>
      </c>
      <c r="D54" t="s">
        <v>145</v>
      </c>
      <c r="E54">
        <v>0.03</v>
      </c>
      <c r="F54">
        <v>-0.26</v>
      </c>
      <c r="G54">
        <v>-0.52</v>
      </c>
      <c r="H54" t="s">
        <v>145</v>
      </c>
      <c r="I54">
        <v>-0.81</v>
      </c>
      <c r="J54">
        <v>-0.15</v>
      </c>
    </row>
    <row r="55" spans="2:10">
      <c r="B55" t="s">
        <v>149</v>
      </c>
      <c r="C55">
        <v>550</v>
      </c>
      <c r="D55">
        <v>550</v>
      </c>
      <c r="E55">
        <v>550</v>
      </c>
      <c r="F55">
        <v>550</v>
      </c>
      <c r="G55">
        <v>550</v>
      </c>
      <c r="H55">
        <v>550</v>
      </c>
      <c r="I55">
        <v>550</v>
      </c>
      <c r="J55">
        <v>550</v>
      </c>
    </row>
    <row r="56" spans="2:10">
      <c r="B56" t="s">
        <v>150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2:10">
      <c r="B57" t="s">
        <v>151</v>
      </c>
      <c r="C57" t="s">
        <v>145</v>
      </c>
      <c r="D57">
        <v>0</v>
      </c>
      <c r="E57" t="s">
        <v>145</v>
      </c>
      <c r="F57" t="s">
        <v>145</v>
      </c>
      <c r="G57" t="s">
        <v>145</v>
      </c>
      <c r="H57">
        <v>0</v>
      </c>
      <c r="I57" t="s">
        <v>145</v>
      </c>
      <c r="J57" t="s">
        <v>145</v>
      </c>
    </row>
    <row r="58" spans="2:10">
      <c r="B58" t="s">
        <v>152</v>
      </c>
      <c r="C58">
        <v>2</v>
      </c>
      <c r="D58">
        <v>3</v>
      </c>
      <c r="E58">
        <v>3</v>
      </c>
      <c r="F58">
        <v>3</v>
      </c>
      <c r="G58">
        <v>3</v>
      </c>
      <c r="H58">
        <v>3</v>
      </c>
      <c r="I58">
        <v>3</v>
      </c>
      <c r="J58">
        <v>3</v>
      </c>
    </row>
    <row r="59" spans="2:10">
      <c r="B59" t="s">
        <v>153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2:10">
      <c r="B60" t="s">
        <v>154</v>
      </c>
      <c r="C60">
        <v>1</v>
      </c>
      <c r="D60">
        <v>-4</v>
      </c>
      <c r="E60">
        <v>3</v>
      </c>
      <c r="F60">
        <v>-13</v>
      </c>
      <c r="G60">
        <v>-29</v>
      </c>
      <c r="H60">
        <v>-42</v>
      </c>
      <c r="I60">
        <v>-44</v>
      </c>
      <c r="J60">
        <v>-9</v>
      </c>
    </row>
    <row r="61" spans="2:10">
      <c r="B61" t="s">
        <v>155</v>
      </c>
      <c r="C61">
        <v>10</v>
      </c>
      <c r="D61">
        <v>5</v>
      </c>
      <c r="E61">
        <v>12</v>
      </c>
      <c r="F61">
        <v>-3</v>
      </c>
      <c r="G61">
        <v>-21</v>
      </c>
      <c r="H61">
        <v>-32</v>
      </c>
      <c r="I61">
        <v>-35</v>
      </c>
      <c r="J61">
        <v>0</v>
      </c>
    </row>
    <row r="62" spans="2:10">
      <c r="B62" t="s">
        <v>156</v>
      </c>
      <c r="C62">
        <v>0</v>
      </c>
      <c r="D62">
        <v>-1</v>
      </c>
      <c r="E62">
        <v>1</v>
      </c>
      <c r="F62">
        <v>-14</v>
      </c>
      <c r="G62">
        <v>-28</v>
      </c>
      <c r="H62">
        <v>-16</v>
      </c>
      <c r="I62">
        <v>-17</v>
      </c>
      <c r="J62">
        <v>-8</v>
      </c>
    </row>
    <row r="63" spans="2:10">
      <c r="B63" t="s">
        <v>157</v>
      </c>
    </row>
    <row r="64" spans="2:10">
      <c r="B64" t="s">
        <v>158</v>
      </c>
    </row>
    <row r="101" spans="2:10">
      <c r="B101" t="s">
        <v>620</v>
      </c>
    </row>
    <row r="102" spans="2:10">
      <c r="B102" t="s">
        <v>65</v>
      </c>
    </row>
    <row r="103" spans="2:10">
      <c r="B103" t="s">
        <v>93</v>
      </c>
      <c r="C103" t="s">
        <v>94</v>
      </c>
      <c r="D103" t="s">
        <v>95</v>
      </c>
      <c r="E103" t="s">
        <v>96</v>
      </c>
      <c r="F103" t="s">
        <v>97</v>
      </c>
      <c r="G103" t="s">
        <v>98</v>
      </c>
      <c r="H103" t="s">
        <v>99</v>
      </c>
      <c r="I103" t="s">
        <v>100</v>
      </c>
      <c r="J103" t="s">
        <v>101</v>
      </c>
    </row>
    <row r="104" spans="2:10">
      <c r="B104" t="s">
        <v>227</v>
      </c>
      <c r="C104">
        <v>160</v>
      </c>
      <c r="D104">
        <v>167</v>
      </c>
      <c r="E104">
        <v>147</v>
      </c>
      <c r="F104">
        <v>171</v>
      </c>
      <c r="G104">
        <v>202</v>
      </c>
      <c r="H104">
        <v>253</v>
      </c>
      <c r="I104">
        <v>213</v>
      </c>
      <c r="J104">
        <v>211</v>
      </c>
    </row>
    <row r="105" spans="2:10">
      <c r="B105" t="s">
        <v>228</v>
      </c>
      <c r="C105">
        <v>5</v>
      </c>
      <c r="D105">
        <v>5</v>
      </c>
      <c r="E105">
        <v>19</v>
      </c>
      <c r="F105">
        <v>5</v>
      </c>
      <c r="G105">
        <v>5</v>
      </c>
      <c r="H105">
        <v>18</v>
      </c>
      <c r="I105">
        <v>38</v>
      </c>
      <c r="J105">
        <v>88</v>
      </c>
    </row>
    <row r="106" spans="2:10">
      <c r="B106" t="s">
        <v>265</v>
      </c>
      <c r="C106">
        <v>70</v>
      </c>
      <c r="D106">
        <v>57</v>
      </c>
      <c r="E106">
        <v>71</v>
      </c>
      <c r="F106">
        <v>55</v>
      </c>
      <c r="G106">
        <v>36</v>
      </c>
      <c r="H106">
        <v>55</v>
      </c>
      <c r="I106">
        <v>61</v>
      </c>
      <c r="J106">
        <v>98</v>
      </c>
    </row>
    <row r="107" spans="2:10">
      <c r="B107" t="s">
        <v>229</v>
      </c>
      <c r="C107">
        <v>5</v>
      </c>
      <c r="D107">
        <v>2</v>
      </c>
      <c r="E107">
        <v>1</v>
      </c>
      <c r="F107">
        <v>2</v>
      </c>
      <c r="G107">
        <v>3</v>
      </c>
      <c r="H107">
        <v>3</v>
      </c>
      <c r="I107">
        <v>5</v>
      </c>
      <c r="J107">
        <v>6</v>
      </c>
    </row>
    <row r="108" spans="2:10">
      <c r="B108" t="s">
        <v>266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</row>
    <row r="109" spans="2:10">
      <c r="B109" t="s">
        <v>16</v>
      </c>
      <c r="C109">
        <v>103</v>
      </c>
      <c r="D109">
        <v>113</v>
      </c>
      <c r="E109">
        <v>125</v>
      </c>
      <c r="F109">
        <v>131</v>
      </c>
      <c r="G109">
        <v>116</v>
      </c>
      <c r="H109">
        <v>130</v>
      </c>
      <c r="I109">
        <v>145</v>
      </c>
      <c r="J109">
        <v>157</v>
      </c>
    </row>
    <row r="110" spans="2:10">
      <c r="B110" t="s">
        <v>267</v>
      </c>
      <c r="C110" t="s">
        <v>145</v>
      </c>
      <c r="D110" t="s">
        <v>145</v>
      </c>
      <c r="E110" t="s">
        <v>145</v>
      </c>
      <c r="F110" t="s">
        <v>145</v>
      </c>
      <c r="G110" t="s">
        <v>145</v>
      </c>
      <c r="H110" t="s">
        <v>145</v>
      </c>
      <c r="I110" t="s">
        <v>145</v>
      </c>
      <c r="J110" t="s">
        <v>145</v>
      </c>
    </row>
    <row r="111" spans="2:10">
      <c r="B111" t="s">
        <v>230</v>
      </c>
      <c r="C111">
        <v>25</v>
      </c>
      <c r="D111">
        <v>26</v>
      </c>
      <c r="E111">
        <v>26</v>
      </c>
      <c r="F111">
        <v>26</v>
      </c>
      <c r="G111">
        <v>28</v>
      </c>
      <c r="H111">
        <v>28</v>
      </c>
      <c r="I111">
        <v>29</v>
      </c>
      <c r="J111">
        <v>31</v>
      </c>
    </row>
    <row r="112" spans="2:10">
      <c r="B112" t="s">
        <v>231</v>
      </c>
      <c r="C112">
        <v>1</v>
      </c>
      <c r="D112">
        <v>2</v>
      </c>
      <c r="E112">
        <v>2</v>
      </c>
      <c r="F112">
        <v>1</v>
      </c>
      <c r="G112">
        <v>2</v>
      </c>
      <c r="H112">
        <v>2</v>
      </c>
      <c r="I112">
        <v>3</v>
      </c>
      <c r="J112">
        <v>2</v>
      </c>
    </row>
    <row r="113" spans="2:10">
      <c r="B113" t="s">
        <v>232</v>
      </c>
      <c r="C113">
        <v>368</v>
      </c>
      <c r="D113">
        <v>372</v>
      </c>
      <c r="E113">
        <v>391</v>
      </c>
      <c r="F113">
        <v>390</v>
      </c>
      <c r="G113">
        <v>392</v>
      </c>
      <c r="H113">
        <v>489</v>
      </c>
      <c r="I113">
        <v>493</v>
      </c>
      <c r="J113">
        <v>592</v>
      </c>
    </row>
    <row r="114" spans="2:10">
      <c r="B114" t="s">
        <v>233</v>
      </c>
      <c r="C114">
        <v>42</v>
      </c>
      <c r="D114">
        <v>41</v>
      </c>
      <c r="E114">
        <v>40</v>
      </c>
      <c r="F114">
        <v>38</v>
      </c>
      <c r="G114">
        <v>40</v>
      </c>
      <c r="H114">
        <v>41</v>
      </c>
      <c r="I114">
        <v>66</v>
      </c>
      <c r="J114">
        <v>92</v>
      </c>
    </row>
    <row r="115" spans="2:10">
      <c r="B115" t="s">
        <v>234</v>
      </c>
      <c r="C115">
        <v>98</v>
      </c>
      <c r="D115">
        <v>98</v>
      </c>
      <c r="E115">
        <v>98</v>
      </c>
      <c r="F115">
        <v>98</v>
      </c>
      <c r="G115">
        <v>98</v>
      </c>
      <c r="H115">
        <v>98</v>
      </c>
      <c r="I115">
        <v>98</v>
      </c>
      <c r="J115">
        <v>98</v>
      </c>
    </row>
    <row r="116" spans="2:10">
      <c r="B116" t="s">
        <v>235</v>
      </c>
      <c r="C116">
        <v>219</v>
      </c>
      <c r="D116">
        <v>221</v>
      </c>
      <c r="E116">
        <v>218</v>
      </c>
      <c r="F116">
        <v>216</v>
      </c>
      <c r="G116">
        <v>217</v>
      </c>
      <c r="H116">
        <v>218</v>
      </c>
      <c r="I116">
        <v>216</v>
      </c>
      <c r="J116">
        <v>216</v>
      </c>
    </row>
    <row r="117" spans="2:10">
      <c r="B117" t="s">
        <v>236</v>
      </c>
      <c r="C117">
        <v>173</v>
      </c>
      <c r="D117">
        <v>189</v>
      </c>
      <c r="E117">
        <v>163</v>
      </c>
      <c r="F117">
        <v>184</v>
      </c>
      <c r="G117">
        <v>190</v>
      </c>
      <c r="H117">
        <v>189</v>
      </c>
      <c r="I117">
        <v>163</v>
      </c>
      <c r="J117">
        <v>171</v>
      </c>
    </row>
    <row r="118" spans="2:10">
      <c r="B118" t="s">
        <v>237</v>
      </c>
      <c r="C118">
        <v>43</v>
      </c>
      <c r="D118">
        <v>45</v>
      </c>
      <c r="E118">
        <v>66</v>
      </c>
      <c r="F118">
        <v>42</v>
      </c>
      <c r="G118">
        <v>42</v>
      </c>
      <c r="H118">
        <v>43</v>
      </c>
      <c r="I118">
        <v>66</v>
      </c>
      <c r="J118">
        <v>44</v>
      </c>
    </row>
    <row r="119" spans="2:10">
      <c r="B119" t="s">
        <v>238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</row>
    <row r="120" spans="2:10">
      <c r="B120" t="s">
        <v>239</v>
      </c>
      <c r="C120">
        <v>-164</v>
      </c>
      <c r="D120">
        <v>-174</v>
      </c>
      <c r="E120">
        <v>-166</v>
      </c>
      <c r="F120">
        <v>-159</v>
      </c>
      <c r="G120">
        <v>-157</v>
      </c>
      <c r="H120">
        <v>-151</v>
      </c>
      <c r="I120">
        <v>-144</v>
      </c>
      <c r="J120">
        <v>-137</v>
      </c>
    </row>
    <row r="121" spans="2:10">
      <c r="B121" t="s">
        <v>240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</row>
    <row r="122" spans="2:10">
      <c r="B122" t="s">
        <v>241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</row>
    <row r="123" spans="2:10">
      <c r="B123" t="s">
        <v>242</v>
      </c>
      <c r="C123">
        <v>370</v>
      </c>
      <c r="D123">
        <v>378</v>
      </c>
      <c r="E123">
        <v>379</v>
      </c>
      <c r="F123">
        <v>381</v>
      </c>
      <c r="G123">
        <v>391</v>
      </c>
      <c r="H123">
        <v>397</v>
      </c>
      <c r="I123">
        <v>401</v>
      </c>
      <c r="J123">
        <v>393</v>
      </c>
    </row>
    <row r="124" spans="2:10">
      <c r="B124" t="s">
        <v>243</v>
      </c>
      <c r="C124">
        <v>36</v>
      </c>
      <c r="D124">
        <v>36</v>
      </c>
      <c r="E124">
        <v>34</v>
      </c>
      <c r="F124">
        <v>34</v>
      </c>
      <c r="G124">
        <v>34</v>
      </c>
      <c r="H124">
        <v>32</v>
      </c>
      <c r="I124">
        <v>30</v>
      </c>
      <c r="J124">
        <v>31</v>
      </c>
    </row>
    <row r="125" spans="2:10">
      <c r="B125" t="s">
        <v>244</v>
      </c>
      <c r="C125">
        <v>1</v>
      </c>
      <c r="D125">
        <v>1</v>
      </c>
      <c r="E125">
        <v>1</v>
      </c>
      <c r="F125">
        <v>1</v>
      </c>
      <c r="G125">
        <v>1</v>
      </c>
      <c r="H125">
        <v>1</v>
      </c>
      <c r="I125">
        <v>2</v>
      </c>
      <c r="J125">
        <v>1</v>
      </c>
    </row>
    <row r="126" spans="2:10">
      <c r="B126" t="s">
        <v>245</v>
      </c>
      <c r="C126">
        <v>44</v>
      </c>
      <c r="D126">
        <v>45</v>
      </c>
      <c r="E126">
        <v>45</v>
      </c>
      <c r="F126">
        <v>44</v>
      </c>
      <c r="G126">
        <v>45</v>
      </c>
      <c r="H126">
        <v>45</v>
      </c>
      <c r="I126">
        <v>46</v>
      </c>
      <c r="J126">
        <v>46</v>
      </c>
    </row>
    <row r="127" spans="2:10">
      <c r="B127" t="s">
        <v>246</v>
      </c>
      <c r="C127">
        <v>81</v>
      </c>
      <c r="D127">
        <v>81</v>
      </c>
      <c r="E127">
        <v>80</v>
      </c>
      <c r="F127">
        <v>79</v>
      </c>
      <c r="G127">
        <v>80</v>
      </c>
      <c r="H127">
        <v>79</v>
      </c>
      <c r="I127">
        <v>78</v>
      </c>
      <c r="J127">
        <v>78</v>
      </c>
    </row>
    <row r="128" spans="2:10">
      <c r="B128" t="s">
        <v>19</v>
      </c>
      <c r="C128">
        <v>860</v>
      </c>
      <c r="D128">
        <v>872</v>
      </c>
      <c r="E128">
        <v>890</v>
      </c>
      <c r="F128">
        <v>888</v>
      </c>
      <c r="G128">
        <v>904</v>
      </c>
      <c r="H128" s="117">
        <v>1005</v>
      </c>
      <c r="I128" s="117">
        <v>1037</v>
      </c>
      <c r="J128" s="117">
        <v>1155</v>
      </c>
    </row>
    <row r="129" spans="2:10">
      <c r="B129" t="s">
        <v>268</v>
      </c>
      <c r="C129">
        <v>10</v>
      </c>
      <c r="D129">
        <v>3</v>
      </c>
      <c r="E129">
        <v>0</v>
      </c>
      <c r="F129">
        <v>7</v>
      </c>
      <c r="G129">
        <v>0</v>
      </c>
      <c r="H129">
        <v>70</v>
      </c>
      <c r="I129">
        <v>0</v>
      </c>
      <c r="J129">
        <v>30</v>
      </c>
    </row>
    <row r="130" spans="2:10">
      <c r="B130" t="s">
        <v>269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</row>
    <row r="131" spans="2:10">
      <c r="B131" t="s">
        <v>17</v>
      </c>
      <c r="C131">
        <v>46</v>
      </c>
      <c r="D131">
        <v>45</v>
      </c>
      <c r="E131">
        <v>49</v>
      </c>
      <c r="F131">
        <v>49</v>
      </c>
      <c r="G131">
        <v>36</v>
      </c>
      <c r="H131">
        <v>22</v>
      </c>
      <c r="I131">
        <v>41</v>
      </c>
      <c r="J131">
        <v>68</v>
      </c>
    </row>
    <row r="132" spans="2:10">
      <c r="B132" t="s">
        <v>247</v>
      </c>
      <c r="C132">
        <v>14</v>
      </c>
      <c r="D132">
        <v>18</v>
      </c>
      <c r="E132">
        <v>21</v>
      </c>
      <c r="F132">
        <v>17</v>
      </c>
      <c r="G132">
        <v>16</v>
      </c>
      <c r="H132">
        <v>19</v>
      </c>
      <c r="I132">
        <v>23</v>
      </c>
      <c r="J132">
        <v>19</v>
      </c>
    </row>
    <row r="133" spans="2:10">
      <c r="B133" t="s">
        <v>248</v>
      </c>
      <c r="C133">
        <v>13</v>
      </c>
      <c r="D133">
        <v>11</v>
      </c>
      <c r="E133">
        <v>16</v>
      </c>
      <c r="F133">
        <v>11</v>
      </c>
      <c r="G133">
        <v>12</v>
      </c>
      <c r="H133">
        <v>10</v>
      </c>
      <c r="I133">
        <v>11</v>
      </c>
      <c r="J133">
        <v>11</v>
      </c>
    </row>
    <row r="134" spans="2:10">
      <c r="B134" t="s">
        <v>249</v>
      </c>
      <c r="C134">
        <v>3</v>
      </c>
      <c r="D134">
        <v>4</v>
      </c>
      <c r="E134">
        <v>6</v>
      </c>
      <c r="F134">
        <v>6</v>
      </c>
      <c r="G134">
        <v>6</v>
      </c>
      <c r="H134">
        <v>11</v>
      </c>
      <c r="I134">
        <v>10</v>
      </c>
      <c r="J134">
        <v>10</v>
      </c>
    </row>
    <row r="135" spans="2:10">
      <c r="B135" t="s">
        <v>250</v>
      </c>
      <c r="C135">
        <v>0</v>
      </c>
      <c r="D135">
        <v>0</v>
      </c>
      <c r="E135">
        <v>2</v>
      </c>
      <c r="F135">
        <v>2</v>
      </c>
      <c r="G135">
        <v>2</v>
      </c>
      <c r="H135">
        <v>2</v>
      </c>
      <c r="I135">
        <v>2</v>
      </c>
      <c r="J135">
        <v>2</v>
      </c>
    </row>
    <row r="136" spans="2:10">
      <c r="B136" t="s">
        <v>251</v>
      </c>
      <c r="C136">
        <v>54</v>
      </c>
      <c r="D136">
        <v>54</v>
      </c>
      <c r="E136">
        <v>54</v>
      </c>
      <c r="F136">
        <v>53</v>
      </c>
      <c r="G136">
        <v>53</v>
      </c>
      <c r="H136">
        <v>53</v>
      </c>
      <c r="I136">
        <v>83</v>
      </c>
      <c r="J136">
        <v>84</v>
      </c>
    </row>
    <row r="137" spans="2:10">
      <c r="B137" t="s">
        <v>252</v>
      </c>
      <c r="C137">
        <v>8</v>
      </c>
      <c r="D137">
        <v>11</v>
      </c>
      <c r="E137">
        <v>11</v>
      </c>
      <c r="F137">
        <v>11</v>
      </c>
      <c r="G137">
        <v>13</v>
      </c>
      <c r="H137">
        <v>12</v>
      </c>
      <c r="I137">
        <v>12</v>
      </c>
      <c r="J137">
        <v>13</v>
      </c>
    </row>
    <row r="138" spans="2:10">
      <c r="B138" t="s">
        <v>253</v>
      </c>
      <c r="C138">
        <v>149</v>
      </c>
      <c r="D138">
        <v>146</v>
      </c>
      <c r="E138">
        <v>158</v>
      </c>
      <c r="F138">
        <v>156</v>
      </c>
      <c r="G138">
        <v>138</v>
      </c>
      <c r="H138">
        <v>198</v>
      </c>
      <c r="I138">
        <v>182</v>
      </c>
      <c r="J138">
        <v>237</v>
      </c>
    </row>
    <row r="139" spans="2:10">
      <c r="B139" t="s">
        <v>254</v>
      </c>
      <c r="C139">
        <v>69</v>
      </c>
      <c r="D139">
        <v>82</v>
      </c>
      <c r="E139">
        <v>96</v>
      </c>
      <c r="F139">
        <v>109</v>
      </c>
      <c r="G139">
        <v>123</v>
      </c>
      <c r="H139">
        <v>136</v>
      </c>
      <c r="I139">
        <v>149</v>
      </c>
      <c r="J139">
        <v>166</v>
      </c>
    </row>
    <row r="140" spans="2:10">
      <c r="B140" t="s">
        <v>255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</row>
    <row r="141" spans="2:10">
      <c r="B141" t="s">
        <v>256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</row>
    <row r="142" spans="2:10">
      <c r="B142" t="s">
        <v>257</v>
      </c>
      <c r="C142">
        <v>7</v>
      </c>
      <c r="D142">
        <v>7</v>
      </c>
      <c r="E142">
        <v>8</v>
      </c>
      <c r="F142">
        <v>4</v>
      </c>
      <c r="G142">
        <v>5</v>
      </c>
      <c r="H142">
        <v>4</v>
      </c>
      <c r="I142">
        <v>0</v>
      </c>
      <c r="J142">
        <v>0</v>
      </c>
    </row>
    <row r="143" spans="2:10">
      <c r="B143" t="s">
        <v>258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</row>
    <row r="144" spans="2:10">
      <c r="B144" t="s">
        <v>259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</row>
    <row r="145" spans="2:10">
      <c r="B145" t="s">
        <v>260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</row>
    <row r="146" spans="2:10">
      <c r="B146" t="s">
        <v>261</v>
      </c>
      <c r="C146">
        <v>7</v>
      </c>
      <c r="D146">
        <v>7</v>
      </c>
      <c r="E146">
        <v>8</v>
      </c>
      <c r="F146">
        <v>4</v>
      </c>
      <c r="G146">
        <v>5</v>
      </c>
      <c r="H146">
        <v>4</v>
      </c>
      <c r="I146">
        <v>0</v>
      </c>
      <c r="J146">
        <v>0</v>
      </c>
    </row>
    <row r="147" spans="2:10">
      <c r="B147" t="s">
        <v>18</v>
      </c>
      <c r="C147">
        <v>225</v>
      </c>
      <c r="D147">
        <v>236</v>
      </c>
      <c r="E147">
        <v>262</v>
      </c>
      <c r="F147">
        <v>270</v>
      </c>
      <c r="G147">
        <v>265</v>
      </c>
      <c r="H147">
        <v>339</v>
      </c>
      <c r="I147">
        <v>331</v>
      </c>
      <c r="J147">
        <v>403</v>
      </c>
    </row>
    <row r="148" spans="2:10">
      <c r="B148" t="s">
        <v>262</v>
      </c>
      <c r="C148">
        <v>636</v>
      </c>
      <c r="D148">
        <v>636</v>
      </c>
      <c r="E148">
        <v>628</v>
      </c>
      <c r="F148">
        <v>618</v>
      </c>
      <c r="G148">
        <v>638</v>
      </c>
      <c r="H148">
        <v>667</v>
      </c>
      <c r="I148">
        <v>706</v>
      </c>
      <c r="J148">
        <v>752</v>
      </c>
    </row>
    <row r="149" spans="2:10">
      <c r="B149" t="s">
        <v>270</v>
      </c>
      <c r="C149">
        <v>572</v>
      </c>
      <c r="D149">
        <v>583</v>
      </c>
      <c r="E149">
        <v>583</v>
      </c>
      <c r="F149">
        <v>583</v>
      </c>
      <c r="G149">
        <v>583</v>
      </c>
      <c r="H149">
        <v>583</v>
      </c>
      <c r="I149">
        <v>583</v>
      </c>
      <c r="J149">
        <v>583</v>
      </c>
    </row>
    <row r="150" spans="2:10">
      <c r="B150" t="s">
        <v>271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</row>
    <row r="151" spans="2:10">
      <c r="B151" t="s">
        <v>272</v>
      </c>
      <c r="C151">
        <v>180</v>
      </c>
      <c r="D151">
        <v>182</v>
      </c>
      <c r="E151">
        <v>182</v>
      </c>
      <c r="F151">
        <v>182</v>
      </c>
      <c r="G151">
        <v>182</v>
      </c>
      <c r="H151">
        <v>182</v>
      </c>
      <c r="I151">
        <v>182</v>
      </c>
      <c r="J151">
        <v>182</v>
      </c>
    </row>
    <row r="152" spans="2:10">
      <c r="B152" t="s">
        <v>273</v>
      </c>
      <c r="C152">
        <v>64</v>
      </c>
      <c r="D152">
        <v>64</v>
      </c>
      <c r="E152">
        <v>64</v>
      </c>
      <c r="F152">
        <v>64</v>
      </c>
      <c r="G152">
        <v>64</v>
      </c>
      <c r="H152">
        <v>64</v>
      </c>
      <c r="I152">
        <v>64</v>
      </c>
      <c r="J152">
        <v>64</v>
      </c>
    </row>
    <row r="153" spans="2:10">
      <c r="B153" t="s">
        <v>274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</row>
    <row r="154" spans="2:10">
      <c r="B154" t="s">
        <v>275</v>
      </c>
      <c r="C154">
        <v>-173</v>
      </c>
      <c r="D154">
        <v>-173</v>
      </c>
      <c r="E154">
        <v>-172</v>
      </c>
      <c r="F154">
        <v>-174</v>
      </c>
      <c r="G154">
        <v>-159</v>
      </c>
      <c r="H154">
        <v>-131</v>
      </c>
      <c r="I154">
        <v>-89</v>
      </c>
      <c r="J154">
        <v>-44</v>
      </c>
    </row>
    <row r="155" spans="2:10">
      <c r="B155" t="s">
        <v>276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</row>
    <row r="156" spans="2:10">
      <c r="B156" t="s">
        <v>263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</row>
    <row r="157" spans="2:10">
      <c r="B157" t="s">
        <v>264</v>
      </c>
      <c r="C157">
        <v>860</v>
      </c>
      <c r="D157">
        <v>872</v>
      </c>
      <c r="E157">
        <v>890</v>
      </c>
      <c r="F157">
        <v>888</v>
      </c>
      <c r="G157">
        <v>904</v>
      </c>
      <c r="H157" s="117">
        <v>1005</v>
      </c>
      <c r="I157" s="117">
        <v>1037</v>
      </c>
      <c r="J157" s="117">
        <v>1155</v>
      </c>
    </row>
    <row r="158" spans="2:10">
      <c r="B158" t="s">
        <v>157</v>
      </c>
    </row>
    <row r="159" spans="2:10">
      <c r="B159" t="s">
        <v>158</v>
      </c>
    </row>
    <row r="201" spans="2:10">
      <c r="B201" t="s">
        <v>619</v>
      </c>
    </row>
    <row r="202" spans="2:10">
      <c r="B202" t="s">
        <v>65</v>
      </c>
    </row>
    <row r="203" spans="2:10">
      <c r="B203" t="s">
        <v>93</v>
      </c>
      <c r="C203" t="s">
        <v>94</v>
      </c>
      <c r="D203" t="s">
        <v>95</v>
      </c>
      <c r="E203" t="s">
        <v>96</v>
      </c>
      <c r="F203" t="s">
        <v>97</v>
      </c>
      <c r="G203" t="s">
        <v>98</v>
      </c>
      <c r="H203" t="s">
        <v>99</v>
      </c>
      <c r="I203" t="s">
        <v>100</v>
      </c>
      <c r="J203" t="s">
        <v>101</v>
      </c>
    </row>
    <row r="204" spans="2:10">
      <c r="B204" t="s">
        <v>159</v>
      </c>
      <c r="C204">
        <v>0</v>
      </c>
      <c r="D204">
        <v>-1</v>
      </c>
      <c r="E204">
        <v>1</v>
      </c>
      <c r="F204">
        <v>-14</v>
      </c>
      <c r="G204">
        <v>-28</v>
      </c>
      <c r="H204">
        <v>-42</v>
      </c>
      <c r="I204">
        <v>-45</v>
      </c>
      <c r="J204">
        <v>-8</v>
      </c>
    </row>
    <row r="205" spans="2:10">
      <c r="B205" t="s">
        <v>160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</row>
    <row r="206" spans="2:10">
      <c r="B206" t="s">
        <v>161</v>
      </c>
      <c r="C206">
        <v>8</v>
      </c>
      <c r="D206">
        <v>8</v>
      </c>
      <c r="E206">
        <v>8</v>
      </c>
      <c r="F206">
        <v>8</v>
      </c>
      <c r="G206">
        <v>9</v>
      </c>
      <c r="H206">
        <v>9</v>
      </c>
      <c r="I206">
        <v>8</v>
      </c>
      <c r="J206">
        <v>8</v>
      </c>
    </row>
    <row r="207" spans="2:10">
      <c r="B207" t="s">
        <v>162</v>
      </c>
      <c r="C207">
        <v>0</v>
      </c>
      <c r="D207">
        <v>1</v>
      </c>
      <c r="E207">
        <v>1</v>
      </c>
      <c r="F207">
        <v>1</v>
      </c>
      <c r="G207">
        <v>0</v>
      </c>
      <c r="H207">
        <v>1</v>
      </c>
      <c r="I207">
        <v>0</v>
      </c>
      <c r="J207">
        <v>0</v>
      </c>
    </row>
    <row r="208" spans="2:10">
      <c r="B208" t="s">
        <v>163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1</v>
      </c>
    </row>
    <row r="209" spans="2:10">
      <c r="B209" t="s">
        <v>164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1</v>
      </c>
      <c r="J209">
        <v>5</v>
      </c>
    </row>
    <row r="210" spans="2:10">
      <c r="B210" t="s">
        <v>165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</row>
    <row r="211" spans="2:10">
      <c r="B211" t="s">
        <v>166</v>
      </c>
      <c r="C211" t="s">
        <v>145</v>
      </c>
      <c r="D211" t="s">
        <v>145</v>
      </c>
      <c r="E211" t="s">
        <v>145</v>
      </c>
      <c r="F211" t="s">
        <v>145</v>
      </c>
      <c r="G211" t="s">
        <v>145</v>
      </c>
      <c r="H211" t="s">
        <v>145</v>
      </c>
      <c r="I211" t="s">
        <v>145</v>
      </c>
      <c r="J211" t="s">
        <v>145</v>
      </c>
    </row>
    <row r="212" spans="2:10">
      <c r="B212" t="s">
        <v>167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</row>
    <row r="213" spans="2:10">
      <c r="B213" t="s">
        <v>168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2</v>
      </c>
      <c r="J213">
        <v>0</v>
      </c>
    </row>
    <row r="214" spans="2:10">
      <c r="B214" t="s">
        <v>169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4</v>
      </c>
      <c r="J214">
        <v>0</v>
      </c>
    </row>
    <row r="215" spans="2:10">
      <c r="B215" t="s">
        <v>170</v>
      </c>
      <c r="C215">
        <v>-13</v>
      </c>
      <c r="D215">
        <v>14</v>
      </c>
      <c r="E215">
        <v>-16</v>
      </c>
      <c r="F215">
        <v>-19</v>
      </c>
      <c r="G215">
        <v>19</v>
      </c>
      <c r="H215">
        <v>6</v>
      </c>
      <c r="I215">
        <v>37</v>
      </c>
      <c r="J215">
        <v>-8</v>
      </c>
    </row>
    <row r="216" spans="2:10">
      <c r="B216" t="s">
        <v>171</v>
      </c>
      <c r="C216">
        <v>11</v>
      </c>
      <c r="D216">
        <v>11</v>
      </c>
      <c r="E216">
        <v>6</v>
      </c>
      <c r="F216">
        <v>-14</v>
      </c>
      <c r="G216">
        <v>13</v>
      </c>
      <c r="H216">
        <v>15</v>
      </c>
      <c r="I216">
        <v>12</v>
      </c>
      <c r="J216">
        <v>0</v>
      </c>
    </row>
    <row r="217" spans="2:10">
      <c r="B217" t="s">
        <v>172</v>
      </c>
      <c r="C217">
        <v>1</v>
      </c>
      <c r="D217">
        <v>-4</v>
      </c>
      <c r="E217">
        <v>0</v>
      </c>
      <c r="F217">
        <v>13</v>
      </c>
      <c r="G217">
        <v>13</v>
      </c>
      <c r="H217">
        <v>-19</v>
      </c>
      <c r="I217">
        <v>-27</v>
      </c>
      <c r="J217">
        <v>4</v>
      </c>
    </row>
    <row r="218" spans="2:10">
      <c r="B218" t="s">
        <v>173</v>
      </c>
      <c r="C218">
        <v>-6</v>
      </c>
      <c r="D218">
        <v>-12</v>
      </c>
      <c r="E218">
        <v>6</v>
      </c>
      <c r="F218">
        <v>4</v>
      </c>
      <c r="G218">
        <v>-7</v>
      </c>
      <c r="H218">
        <v>-2</v>
      </c>
      <c r="I218">
        <v>1</v>
      </c>
      <c r="J218">
        <v>2</v>
      </c>
    </row>
    <row r="219" spans="2:10">
      <c r="B219" t="s">
        <v>20</v>
      </c>
      <c r="C219">
        <v>1</v>
      </c>
      <c r="D219">
        <v>13</v>
      </c>
      <c r="E219">
        <v>10</v>
      </c>
      <c r="F219">
        <v>-21</v>
      </c>
      <c r="G219">
        <v>19</v>
      </c>
      <c r="H219">
        <v>-6</v>
      </c>
      <c r="I219">
        <v>19</v>
      </c>
      <c r="J219">
        <v>5</v>
      </c>
    </row>
    <row r="220" spans="2:10">
      <c r="B220" t="s">
        <v>174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24</v>
      </c>
      <c r="I220">
        <v>59</v>
      </c>
      <c r="J220">
        <v>-83</v>
      </c>
    </row>
    <row r="221" spans="2:10">
      <c r="B221" t="s">
        <v>175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</row>
    <row r="222" spans="2:10">
      <c r="B222" t="s">
        <v>22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</row>
    <row r="223" spans="2:10">
      <c r="B223" t="s">
        <v>176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</row>
    <row r="224" spans="2:10">
      <c r="B224" t="s">
        <v>21</v>
      </c>
      <c r="C224">
        <v>0</v>
      </c>
      <c r="D224">
        <v>-2</v>
      </c>
      <c r="E224">
        <v>-2</v>
      </c>
      <c r="F224">
        <v>-2</v>
      </c>
      <c r="G224">
        <v>-2</v>
      </c>
      <c r="H224">
        <v>-2</v>
      </c>
      <c r="I224">
        <v>-17</v>
      </c>
      <c r="J224">
        <v>-2</v>
      </c>
    </row>
    <row r="225" spans="2:10">
      <c r="B225" t="s">
        <v>177</v>
      </c>
      <c r="C225">
        <v>0</v>
      </c>
      <c r="D225">
        <v>0</v>
      </c>
      <c r="E225">
        <v>-1</v>
      </c>
      <c r="F225">
        <v>0</v>
      </c>
      <c r="G225">
        <v>0</v>
      </c>
      <c r="H225">
        <v>0</v>
      </c>
      <c r="I225">
        <v>-1</v>
      </c>
      <c r="J225">
        <v>0</v>
      </c>
    </row>
    <row r="226" spans="2:10">
      <c r="B226" t="s">
        <v>178</v>
      </c>
      <c r="C226">
        <v>-1</v>
      </c>
      <c r="D226">
        <v>13</v>
      </c>
      <c r="E226">
        <v>-17</v>
      </c>
      <c r="F226">
        <v>-1</v>
      </c>
      <c r="G226">
        <v>12</v>
      </c>
      <c r="H226">
        <v>18</v>
      </c>
      <c r="I226">
        <v>32</v>
      </c>
      <c r="J226">
        <v>-60</v>
      </c>
    </row>
    <row r="227" spans="2:10">
      <c r="B227" t="s">
        <v>179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</row>
    <row r="228" spans="2:10">
      <c r="B228" t="s">
        <v>180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</row>
    <row r="229" spans="2:10">
      <c r="B229" t="s">
        <v>181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</row>
    <row r="230" spans="2:10">
      <c r="B230" t="s">
        <v>182</v>
      </c>
      <c r="C230">
        <v>7</v>
      </c>
      <c r="D230">
        <v>3</v>
      </c>
      <c r="E230">
        <v>-7</v>
      </c>
      <c r="F230">
        <v>7</v>
      </c>
      <c r="G230">
        <v>-70</v>
      </c>
      <c r="H230">
        <v>70</v>
      </c>
      <c r="I230">
        <v>-30</v>
      </c>
      <c r="J230">
        <v>-42</v>
      </c>
    </row>
    <row r="231" spans="2:10">
      <c r="B231" t="s">
        <v>183</v>
      </c>
      <c r="C231">
        <v>-13</v>
      </c>
      <c r="D231">
        <v>-13</v>
      </c>
      <c r="E231">
        <v>-13</v>
      </c>
      <c r="F231">
        <v>-13</v>
      </c>
      <c r="G231">
        <v>-13</v>
      </c>
      <c r="H231">
        <v>-43</v>
      </c>
      <c r="I231">
        <v>-16</v>
      </c>
      <c r="J231">
        <v>-10</v>
      </c>
    </row>
    <row r="232" spans="2:10">
      <c r="B232" t="s">
        <v>184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</row>
    <row r="233" spans="2:10">
      <c r="B233" t="s">
        <v>185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95</v>
      </c>
      <c r="J233">
        <v>0</v>
      </c>
    </row>
    <row r="234" spans="2:10">
      <c r="B234" t="s">
        <v>186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</row>
    <row r="235" spans="2:10">
      <c r="B235" t="s">
        <v>187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-96</v>
      </c>
      <c r="J235">
        <v>0</v>
      </c>
    </row>
    <row r="236" spans="2:10">
      <c r="B236" t="s">
        <v>188</v>
      </c>
      <c r="C236">
        <v>-6</v>
      </c>
      <c r="D236">
        <v>-10</v>
      </c>
      <c r="E236">
        <v>-20</v>
      </c>
      <c r="F236">
        <v>-6</v>
      </c>
      <c r="G236">
        <v>-83</v>
      </c>
      <c r="H236">
        <v>27</v>
      </c>
      <c r="I236">
        <v>-47</v>
      </c>
      <c r="J236">
        <v>-52</v>
      </c>
    </row>
    <row r="237" spans="2:10">
      <c r="B237" t="s">
        <v>189</v>
      </c>
      <c r="C237">
        <v>-1</v>
      </c>
      <c r="D237">
        <v>4</v>
      </c>
      <c r="E237">
        <v>4</v>
      </c>
      <c r="F237">
        <v>-3</v>
      </c>
      <c r="G237">
        <v>1</v>
      </c>
      <c r="H237">
        <v>2</v>
      </c>
      <c r="I237">
        <v>-2</v>
      </c>
      <c r="J237">
        <v>3</v>
      </c>
    </row>
    <row r="238" spans="2:10">
      <c r="B238" t="s">
        <v>190</v>
      </c>
      <c r="C238">
        <v>-7</v>
      </c>
      <c r="D238">
        <v>21</v>
      </c>
      <c r="E238">
        <v>-24</v>
      </c>
      <c r="F238">
        <v>-32</v>
      </c>
      <c r="G238">
        <v>-51</v>
      </c>
      <c r="H238">
        <v>40</v>
      </c>
      <c r="I238">
        <v>2</v>
      </c>
      <c r="J238">
        <v>-105</v>
      </c>
    </row>
    <row r="239" spans="2:10">
      <c r="B239" t="s">
        <v>191</v>
      </c>
      <c r="C239">
        <v>167</v>
      </c>
      <c r="D239">
        <v>147</v>
      </c>
      <c r="E239">
        <v>171</v>
      </c>
      <c r="F239">
        <v>202</v>
      </c>
      <c r="G239">
        <v>253</v>
      </c>
      <c r="H239">
        <v>213</v>
      </c>
      <c r="I239">
        <v>211</v>
      </c>
      <c r="J239">
        <v>316</v>
      </c>
    </row>
    <row r="240" spans="2:10">
      <c r="B240" t="s">
        <v>192</v>
      </c>
      <c r="C240">
        <v>160</v>
      </c>
      <c r="D240">
        <v>167</v>
      </c>
      <c r="E240">
        <v>147</v>
      </c>
      <c r="F240">
        <v>171</v>
      </c>
      <c r="G240">
        <v>202</v>
      </c>
      <c r="H240">
        <v>253</v>
      </c>
      <c r="I240">
        <v>213</v>
      </c>
      <c r="J240">
        <v>211</v>
      </c>
    </row>
    <row r="241" spans="2:10">
      <c r="B241" t="s">
        <v>193</v>
      </c>
      <c r="C241">
        <v>1</v>
      </c>
      <c r="D241">
        <v>1</v>
      </c>
      <c r="E241">
        <v>1</v>
      </c>
      <c r="F241">
        <v>1</v>
      </c>
      <c r="G241">
        <v>1</v>
      </c>
      <c r="H241">
        <v>1</v>
      </c>
      <c r="I241">
        <v>1</v>
      </c>
      <c r="J241">
        <v>1</v>
      </c>
    </row>
    <row r="242" spans="2:10">
      <c r="B242" t="s">
        <v>194</v>
      </c>
      <c r="C242" t="s">
        <v>145</v>
      </c>
      <c r="D242" t="s">
        <v>145</v>
      </c>
      <c r="E242" t="s">
        <v>145</v>
      </c>
      <c r="F242" t="s">
        <v>145</v>
      </c>
      <c r="G242" t="s">
        <v>145</v>
      </c>
      <c r="H242" t="s">
        <v>145</v>
      </c>
      <c r="I242" t="s">
        <v>145</v>
      </c>
      <c r="J242" t="s">
        <v>145</v>
      </c>
    </row>
    <row r="243" spans="2:10">
      <c r="B243" t="s">
        <v>195</v>
      </c>
    </row>
    <row r="244" spans="2:10">
      <c r="B244" t="s">
        <v>196</v>
      </c>
    </row>
    <row r="245" spans="2:10">
      <c r="B245" t="s">
        <v>157</v>
      </c>
    </row>
    <row r="246" spans="2:10">
      <c r="B246" t="s">
        <v>158</v>
      </c>
    </row>
  </sheetData>
  <sheetProtection sheet="1" objects="1" scenarios="1"/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J246"/>
  <sheetViews>
    <sheetView workbookViewId="0">
      <selection sqref="A1:XFD1000"/>
    </sheetView>
  </sheetViews>
  <sheetFormatPr defaultRowHeight="16.5"/>
  <cols>
    <col min="2" max="2" width="81" customWidth="1"/>
    <col min="3" max="10" width="7.375" customWidth="1"/>
  </cols>
  <sheetData>
    <row r="2" spans="2:10">
      <c r="B2" t="s">
        <v>623</v>
      </c>
    </row>
    <row r="3" spans="2:10">
      <c r="B3" t="s">
        <v>65</v>
      </c>
    </row>
    <row r="4" spans="2:10">
      <c r="B4" t="s">
        <v>93</v>
      </c>
      <c r="C4" t="s">
        <v>94</v>
      </c>
      <c r="D4" t="s">
        <v>95</v>
      </c>
      <c r="E4" t="s">
        <v>96</v>
      </c>
      <c r="F4" t="s">
        <v>97</v>
      </c>
      <c r="G4" t="s">
        <v>98</v>
      </c>
      <c r="H4" t="s">
        <v>99</v>
      </c>
      <c r="I4" t="s">
        <v>100</v>
      </c>
      <c r="J4" t="s">
        <v>101</v>
      </c>
    </row>
    <row r="5" spans="2:10">
      <c r="B5" t="s">
        <v>11</v>
      </c>
      <c r="C5">
        <v>288</v>
      </c>
      <c r="D5">
        <v>368</v>
      </c>
      <c r="E5">
        <v>399</v>
      </c>
      <c r="F5">
        <v>284</v>
      </c>
      <c r="G5">
        <v>332</v>
      </c>
      <c r="H5">
        <v>473</v>
      </c>
      <c r="I5">
        <v>413</v>
      </c>
      <c r="J5">
        <v>260</v>
      </c>
    </row>
    <row r="6" spans="2:10">
      <c r="B6" t="s">
        <v>12</v>
      </c>
      <c r="C6">
        <v>225</v>
      </c>
      <c r="D6">
        <v>289</v>
      </c>
      <c r="E6">
        <v>309</v>
      </c>
      <c r="F6">
        <v>218</v>
      </c>
      <c r="G6">
        <v>255</v>
      </c>
      <c r="H6">
        <v>350</v>
      </c>
      <c r="I6">
        <v>322</v>
      </c>
      <c r="J6">
        <v>204</v>
      </c>
    </row>
    <row r="7" spans="2:10">
      <c r="B7" t="s">
        <v>102</v>
      </c>
      <c r="C7">
        <v>63</v>
      </c>
      <c r="D7">
        <v>79</v>
      </c>
      <c r="E7">
        <v>90</v>
      </c>
      <c r="F7">
        <v>66</v>
      </c>
      <c r="G7">
        <v>77</v>
      </c>
      <c r="H7">
        <v>124</v>
      </c>
      <c r="I7">
        <v>91</v>
      </c>
      <c r="J7">
        <v>56</v>
      </c>
    </row>
    <row r="8" spans="2:10">
      <c r="B8" t="s">
        <v>103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2:10">
      <c r="B9" t="s">
        <v>104</v>
      </c>
      <c r="C9">
        <v>63</v>
      </c>
      <c r="D9">
        <v>79</v>
      </c>
      <c r="E9">
        <v>90</v>
      </c>
      <c r="F9">
        <v>66</v>
      </c>
      <c r="G9">
        <v>77</v>
      </c>
      <c r="H9">
        <v>124</v>
      </c>
      <c r="I9">
        <v>91</v>
      </c>
      <c r="J9">
        <v>56</v>
      </c>
    </row>
    <row r="10" spans="2:10">
      <c r="B10" t="s">
        <v>105</v>
      </c>
      <c r="C10">
        <v>59</v>
      </c>
      <c r="D10">
        <v>74</v>
      </c>
      <c r="E10">
        <v>68</v>
      </c>
      <c r="F10">
        <v>65</v>
      </c>
      <c r="G10">
        <v>61</v>
      </c>
      <c r="H10">
        <v>69</v>
      </c>
      <c r="I10">
        <v>65</v>
      </c>
      <c r="J10">
        <v>64</v>
      </c>
    </row>
    <row r="11" spans="2:10">
      <c r="B11" t="s">
        <v>106</v>
      </c>
      <c r="C11">
        <v>10</v>
      </c>
      <c r="D11">
        <v>17</v>
      </c>
      <c r="E11">
        <v>15</v>
      </c>
      <c r="F11">
        <v>14</v>
      </c>
      <c r="G11">
        <v>12</v>
      </c>
      <c r="H11">
        <v>15</v>
      </c>
      <c r="I11">
        <v>16</v>
      </c>
      <c r="J11">
        <v>14</v>
      </c>
    </row>
    <row r="12" spans="2:10">
      <c r="B12" t="s">
        <v>107</v>
      </c>
      <c r="C12">
        <v>11</v>
      </c>
      <c r="D12">
        <v>14</v>
      </c>
      <c r="E12">
        <v>14</v>
      </c>
      <c r="F12">
        <v>13</v>
      </c>
      <c r="G12">
        <v>13</v>
      </c>
      <c r="H12">
        <v>15</v>
      </c>
      <c r="I12">
        <v>13</v>
      </c>
      <c r="J12">
        <v>13</v>
      </c>
    </row>
    <row r="13" spans="2:10">
      <c r="B13" t="s">
        <v>108</v>
      </c>
      <c r="C13">
        <v>38</v>
      </c>
      <c r="D13">
        <v>43</v>
      </c>
      <c r="E13">
        <v>38</v>
      </c>
      <c r="F13">
        <v>38</v>
      </c>
      <c r="G13">
        <v>36</v>
      </c>
      <c r="H13">
        <v>39</v>
      </c>
      <c r="I13">
        <v>36</v>
      </c>
      <c r="J13">
        <v>38</v>
      </c>
    </row>
    <row r="14" spans="2:10">
      <c r="B14" t="s">
        <v>109</v>
      </c>
      <c r="C14">
        <v>4</v>
      </c>
      <c r="D14">
        <v>6</v>
      </c>
      <c r="E14">
        <v>23</v>
      </c>
      <c r="F14">
        <v>2</v>
      </c>
      <c r="G14">
        <v>15</v>
      </c>
      <c r="H14">
        <v>55</v>
      </c>
      <c r="I14">
        <v>26</v>
      </c>
      <c r="J14">
        <v>-8</v>
      </c>
    </row>
    <row r="15" spans="2:10">
      <c r="B15" t="s">
        <v>110</v>
      </c>
      <c r="C15">
        <v>2</v>
      </c>
      <c r="D15">
        <v>2</v>
      </c>
      <c r="E15">
        <v>2</v>
      </c>
      <c r="F15">
        <v>2</v>
      </c>
      <c r="G15">
        <v>2</v>
      </c>
      <c r="H15">
        <v>2</v>
      </c>
      <c r="I15">
        <v>2</v>
      </c>
      <c r="J15">
        <v>2</v>
      </c>
    </row>
    <row r="16" spans="2:10">
      <c r="B16" t="s">
        <v>111</v>
      </c>
      <c r="C16">
        <v>0</v>
      </c>
      <c r="D16">
        <v>0</v>
      </c>
      <c r="E16">
        <v>0</v>
      </c>
      <c r="F16">
        <v>31</v>
      </c>
      <c r="G16">
        <v>0</v>
      </c>
      <c r="H16">
        <v>0</v>
      </c>
      <c r="I16">
        <v>0</v>
      </c>
      <c r="J16">
        <v>32</v>
      </c>
    </row>
    <row r="17" spans="2:10">
      <c r="B17" t="s">
        <v>112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</row>
    <row r="18" spans="2:10">
      <c r="B18" t="s">
        <v>113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2:10">
      <c r="B19" t="s">
        <v>114</v>
      </c>
      <c r="C19">
        <v>0</v>
      </c>
      <c r="D19">
        <v>0</v>
      </c>
      <c r="E19">
        <v>0</v>
      </c>
      <c r="F19">
        <v>1</v>
      </c>
      <c r="G19">
        <v>1</v>
      </c>
      <c r="H19">
        <v>1</v>
      </c>
      <c r="I19">
        <v>0</v>
      </c>
      <c r="J19">
        <v>1</v>
      </c>
    </row>
    <row r="20" spans="2:10">
      <c r="B20" t="s">
        <v>115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</row>
    <row r="21" spans="2:10">
      <c r="B21" t="s">
        <v>116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</row>
    <row r="22" spans="2:10">
      <c r="B22" t="s">
        <v>117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</row>
    <row r="23" spans="2:10">
      <c r="B23" t="s">
        <v>118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2:10">
      <c r="B24" t="s">
        <v>119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</row>
    <row r="25" spans="2:10">
      <c r="B25" t="s">
        <v>120</v>
      </c>
      <c r="C25">
        <v>0</v>
      </c>
      <c r="D25">
        <v>4</v>
      </c>
      <c r="E25">
        <v>2</v>
      </c>
      <c r="F25">
        <v>0</v>
      </c>
      <c r="G25">
        <v>2</v>
      </c>
      <c r="H25">
        <v>2</v>
      </c>
      <c r="I25">
        <v>0</v>
      </c>
      <c r="J25">
        <v>1</v>
      </c>
    </row>
    <row r="26" spans="2:10">
      <c r="B26" t="s">
        <v>121</v>
      </c>
      <c r="C26">
        <v>0</v>
      </c>
      <c r="D26">
        <v>0</v>
      </c>
      <c r="E26">
        <v>0</v>
      </c>
      <c r="F26">
        <v>0</v>
      </c>
      <c r="G26">
        <v>1</v>
      </c>
      <c r="H26">
        <v>0</v>
      </c>
      <c r="I26">
        <v>0</v>
      </c>
      <c r="J26">
        <v>0</v>
      </c>
    </row>
    <row r="27" spans="2:10">
      <c r="B27" t="s">
        <v>122</v>
      </c>
      <c r="C27">
        <v>3</v>
      </c>
      <c r="D27">
        <v>6</v>
      </c>
      <c r="E27">
        <v>4</v>
      </c>
      <c r="F27">
        <v>33</v>
      </c>
      <c r="G27">
        <v>5</v>
      </c>
      <c r="H27">
        <v>4</v>
      </c>
      <c r="I27">
        <v>3</v>
      </c>
      <c r="J27">
        <v>36</v>
      </c>
    </row>
    <row r="28" spans="2:10">
      <c r="B28" t="s">
        <v>123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</row>
    <row r="29" spans="2:10">
      <c r="B29" t="s">
        <v>124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</row>
    <row r="30" spans="2:10">
      <c r="B30" t="s">
        <v>125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</row>
    <row r="31" spans="2:10">
      <c r="B31" t="s">
        <v>126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</row>
    <row r="32" spans="2:10">
      <c r="B32" t="s">
        <v>127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</row>
    <row r="33" spans="2:10">
      <c r="B33" t="s">
        <v>128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</row>
    <row r="34" spans="2:10">
      <c r="B34" t="s">
        <v>129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2:10">
      <c r="B35" t="s">
        <v>130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2:10">
      <c r="B36" t="s">
        <v>131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</row>
    <row r="37" spans="2:10">
      <c r="B37" t="s">
        <v>132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2:10">
      <c r="B38" t="s">
        <v>133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</row>
    <row r="39" spans="2:10">
      <c r="B39" t="s">
        <v>134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  <row r="40" spans="2:10">
      <c r="B40" t="s">
        <v>135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</row>
    <row r="41" spans="2:10">
      <c r="B41" t="s">
        <v>136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</row>
    <row r="42" spans="2:10">
      <c r="B42" t="s">
        <v>137</v>
      </c>
      <c r="C42">
        <v>6</v>
      </c>
      <c r="D42">
        <v>12</v>
      </c>
      <c r="E42">
        <v>27</v>
      </c>
      <c r="F42">
        <v>34</v>
      </c>
      <c r="G42">
        <v>20</v>
      </c>
      <c r="H42">
        <v>59</v>
      </c>
      <c r="I42">
        <v>28</v>
      </c>
      <c r="J42">
        <v>28</v>
      </c>
    </row>
    <row r="43" spans="2:10">
      <c r="B43" t="s">
        <v>138</v>
      </c>
      <c r="C43">
        <v>1</v>
      </c>
      <c r="D43">
        <v>0</v>
      </c>
      <c r="E43">
        <v>3</v>
      </c>
      <c r="F43">
        <v>4</v>
      </c>
      <c r="G43">
        <v>2</v>
      </c>
      <c r="H43">
        <v>15</v>
      </c>
      <c r="I43">
        <v>2</v>
      </c>
      <c r="J43">
        <v>2</v>
      </c>
    </row>
    <row r="44" spans="2:10">
      <c r="B44" t="s">
        <v>139</v>
      </c>
      <c r="C44">
        <v>5</v>
      </c>
      <c r="D44">
        <v>12</v>
      </c>
      <c r="E44">
        <v>24</v>
      </c>
      <c r="F44">
        <v>30</v>
      </c>
      <c r="G44">
        <v>18</v>
      </c>
      <c r="H44">
        <v>44</v>
      </c>
      <c r="I44">
        <v>26</v>
      </c>
      <c r="J44">
        <v>26</v>
      </c>
    </row>
    <row r="45" spans="2:10">
      <c r="B45" t="s">
        <v>140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2:10">
      <c r="B46" t="s">
        <v>141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2:10">
      <c r="B47" t="s">
        <v>142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2:10">
      <c r="B48" t="s">
        <v>143</v>
      </c>
      <c r="C48">
        <v>5</v>
      </c>
      <c r="D48">
        <v>12</v>
      </c>
      <c r="E48">
        <v>24</v>
      </c>
      <c r="F48">
        <v>30</v>
      </c>
      <c r="G48">
        <v>18</v>
      </c>
      <c r="H48">
        <v>44</v>
      </c>
      <c r="I48">
        <v>26</v>
      </c>
      <c r="J48">
        <v>26</v>
      </c>
    </row>
    <row r="49" spans="2:10">
      <c r="B49" t="s">
        <v>144</v>
      </c>
      <c r="C49" t="s">
        <v>145</v>
      </c>
      <c r="D49" t="s">
        <v>145</v>
      </c>
      <c r="E49" t="s">
        <v>145</v>
      </c>
      <c r="F49" t="s">
        <v>145</v>
      </c>
      <c r="G49" t="s">
        <v>145</v>
      </c>
      <c r="H49" t="s">
        <v>145</v>
      </c>
      <c r="I49" t="s">
        <v>145</v>
      </c>
      <c r="J49" t="s">
        <v>145</v>
      </c>
    </row>
    <row r="50" spans="2:10">
      <c r="B50" t="s">
        <v>146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2:10">
      <c r="B51" t="s">
        <v>147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2:10">
      <c r="B52" t="s">
        <v>14</v>
      </c>
      <c r="C52">
        <v>5</v>
      </c>
      <c r="D52">
        <v>12</v>
      </c>
      <c r="E52">
        <v>24</v>
      </c>
      <c r="F52">
        <v>30</v>
      </c>
      <c r="G52">
        <v>18</v>
      </c>
      <c r="H52">
        <v>44</v>
      </c>
      <c r="I52">
        <v>26</v>
      </c>
      <c r="J52">
        <v>26</v>
      </c>
    </row>
    <row r="53" spans="2:10">
      <c r="B53" t="s">
        <v>15</v>
      </c>
      <c r="C53">
        <v>0.11</v>
      </c>
      <c r="D53">
        <v>0.24</v>
      </c>
      <c r="E53">
        <v>0.47</v>
      </c>
      <c r="F53">
        <v>0.59</v>
      </c>
      <c r="G53">
        <v>0.35</v>
      </c>
      <c r="H53">
        <v>0.88</v>
      </c>
      <c r="I53">
        <v>0.52</v>
      </c>
      <c r="J53">
        <v>0.51</v>
      </c>
    </row>
    <row r="54" spans="2:10">
      <c r="B54" t="s">
        <v>148</v>
      </c>
      <c r="C54">
        <v>0.11</v>
      </c>
      <c r="D54" t="s">
        <v>145</v>
      </c>
      <c r="E54">
        <v>0.47</v>
      </c>
      <c r="F54">
        <v>0.59</v>
      </c>
      <c r="G54">
        <v>0.35</v>
      </c>
      <c r="H54" t="s">
        <v>145</v>
      </c>
      <c r="I54">
        <v>0.52</v>
      </c>
      <c r="J54">
        <v>0.51</v>
      </c>
    </row>
    <row r="55" spans="2:10">
      <c r="B55" t="s">
        <v>149</v>
      </c>
      <c r="C55">
        <v>506</v>
      </c>
      <c r="D55">
        <v>506</v>
      </c>
      <c r="E55">
        <v>506</v>
      </c>
      <c r="F55">
        <v>506</v>
      </c>
      <c r="G55">
        <v>506</v>
      </c>
      <c r="H55">
        <v>506</v>
      </c>
      <c r="I55">
        <v>506</v>
      </c>
      <c r="J55">
        <v>506</v>
      </c>
    </row>
    <row r="56" spans="2:10">
      <c r="B56" t="s">
        <v>150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2:10">
      <c r="B57" t="s">
        <v>151</v>
      </c>
      <c r="C57" t="s">
        <v>145</v>
      </c>
      <c r="D57">
        <v>0</v>
      </c>
      <c r="E57" t="s">
        <v>145</v>
      </c>
      <c r="F57" t="s">
        <v>145</v>
      </c>
      <c r="G57" t="s">
        <v>145</v>
      </c>
      <c r="H57">
        <v>0</v>
      </c>
      <c r="I57" t="s">
        <v>145</v>
      </c>
      <c r="J57" t="s">
        <v>145</v>
      </c>
    </row>
    <row r="58" spans="2:10">
      <c r="B58" t="s">
        <v>152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2:10">
      <c r="B59" t="s">
        <v>153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2:10">
      <c r="B60" t="s">
        <v>154</v>
      </c>
      <c r="C60">
        <v>6</v>
      </c>
      <c r="D60">
        <v>12</v>
      </c>
      <c r="E60">
        <v>27</v>
      </c>
      <c r="F60">
        <v>34</v>
      </c>
      <c r="G60">
        <v>20</v>
      </c>
      <c r="H60">
        <v>59</v>
      </c>
      <c r="I60">
        <v>28</v>
      </c>
      <c r="J60">
        <v>28</v>
      </c>
    </row>
    <row r="61" spans="2:10">
      <c r="B61" t="s">
        <v>155</v>
      </c>
      <c r="C61">
        <v>9</v>
      </c>
      <c r="D61">
        <v>14</v>
      </c>
      <c r="E61">
        <v>29</v>
      </c>
      <c r="F61">
        <v>36</v>
      </c>
      <c r="G61">
        <v>22</v>
      </c>
      <c r="H61">
        <v>61</v>
      </c>
      <c r="I61">
        <v>31</v>
      </c>
      <c r="J61">
        <v>31</v>
      </c>
    </row>
    <row r="62" spans="2:10">
      <c r="B62" t="s">
        <v>156</v>
      </c>
      <c r="C62">
        <v>5</v>
      </c>
      <c r="D62">
        <v>12</v>
      </c>
      <c r="E62">
        <v>23</v>
      </c>
      <c r="F62">
        <v>29</v>
      </c>
      <c r="G62">
        <v>17</v>
      </c>
      <c r="H62">
        <v>44</v>
      </c>
      <c r="I62">
        <v>26</v>
      </c>
      <c r="J62">
        <v>25</v>
      </c>
    </row>
    <row r="63" spans="2:10">
      <c r="B63" t="s">
        <v>157</v>
      </c>
    </row>
    <row r="64" spans="2:10">
      <c r="B64" t="s">
        <v>158</v>
      </c>
    </row>
    <row r="101" spans="2:10">
      <c r="B101" t="s">
        <v>624</v>
      </c>
    </row>
    <row r="102" spans="2:10">
      <c r="B102" t="s">
        <v>65</v>
      </c>
    </row>
    <row r="103" spans="2:10">
      <c r="B103" t="s">
        <v>93</v>
      </c>
      <c r="C103" t="s">
        <v>94</v>
      </c>
      <c r="D103" t="s">
        <v>95</v>
      </c>
      <c r="E103" t="s">
        <v>96</v>
      </c>
      <c r="F103" t="s">
        <v>97</v>
      </c>
      <c r="G103" t="s">
        <v>98</v>
      </c>
      <c r="H103" t="s">
        <v>99</v>
      </c>
      <c r="I103" t="s">
        <v>100</v>
      </c>
      <c r="J103" t="s">
        <v>101</v>
      </c>
    </row>
    <row r="104" spans="2:10">
      <c r="B104" t="s">
        <v>227</v>
      </c>
      <c r="C104">
        <v>641</v>
      </c>
      <c r="D104">
        <v>713</v>
      </c>
      <c r="E104">
        <v>601</v>
      </c>
      <c r="F104">
        <v>619</v>
      </c>
      <c r="G104">
        <v>565</v>
      </c>
      <c r="H104">
        <v>652</v>
      </c>
      <c r="I104">
        <v>557</v>
      </c>
      <c r="J104">
        <v>606</v>
      </c>
    </row>
    <row r="105" spans="2:10">
      <c r="B105" t="s">
        <v>228</v>
      </c>
      <c r="C105">
        <v>289</v>
      </c>
      <c r="D105">
        <v>250</v>
      </c>
      <c r="E105">
        <v>318</v>
      </c>
      <c r="F105">
        <v>322</v>
      </c>
      <c r="G105">
        <v>397</v>
      </c>
      <c r="H105">
        <v>350</v>
      </c>
      <c r="I105">
        <v>333</v>
      </c>
      <c r="J105">
        <v>281</v>
      </c>
    </row>
    <row r="106" spans="2:10">
      <c r="B106" t="s">
        <v>265</v>
      </c>
      <c r="C106">
        <v>92</v>
      </c>
      <c r="D106">
        <v>96</v>
      </c>
      <c r="E106">
        <v>134</v>
      </c>
      <c r="F106">
        <v>113</v>
      </c>
      <c r="G106">
        <v>95</v>
      </c>
      <c r="H106">
        <v>166</v>
      </c>
      <c r="I106">
        <v>211</v>
      </c>
      <c r="J106">
        <v>128</v>
      </c>
    </row>
    <row r="107" spans="2:10">
      <c r="B107" t="s">
        <v>229</v>
      </c>
      <c r="C107">
        <v>1</v>
      </c>
      <c r="D107">
        <v>1</v>
      </c>
      <c r="E107">
        <v>1</v>
      </c>
      <c r="F107">
        <v>32</v>
      </c>
      <c r="G107">
        <v>1</v>
      </c>
      <c r="H107">
        <v>1</v>
      </c>
      <c r="I107">
        <v>1</v>
      </c>
      <c r="J107">
        <v>34</v>
      </c>
    </row>
    <row r="108" spans="2:10">
      <c r="B108" t="s">
        <v>266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</row>
    <row r="109" spans="2:10">
      <c r="B109" t="s">
        <v>16</v>
      </c>
      <c r="C109">
        <v>89</v>
      </c>
      <c r="D109">
        <v>76</v>
      </c>
      <c r="E109">
        <v>114</v>
      </c>
      <c r="F109">
        <v>102</v>
      </c>
      <c r="G109">
        <v>89</v>
      </c>
      <c r="H109">
        <v>82</v>
      </c>
      <c r="I109">
        <v>85</v>
      </c>
      <c r="J109">
        <v>73</v>
      </c>
    </row>
    <row r="110" spans="2:10">
      <c r="B110" t="s">
        <v>267</v>
      </c>
      <c r="C110" t="s">
        <v>145</v>
      </c>
      <c r="D110" t="s">
        <v>145</v>
      </c>
      <c r="E110" t="s">
        <v>145</v>
      </c>
      <c r="F110" t="s">
        <v>145</v>
      </c>
      <c r="G110" t="s">
        <v>145</v>
      </c>
      <c r="H110" t="s">
        <v>145</v>
      </c>
      <c r="I110" t="s">
        <v>145</v>
      </c>
      <c r="J110" t="s">
        <v>145</v>
      </c>
    </row>
    <row r="111" spans="2:10">
      <c r="B111" t="s">
        <v>230</v>
      </c>
      <c r="C111">
        <v>5</v>
      </c>
      <c r="D111">
        <v>6</v>
      </c>
      <c r="E111">
        <v>6</v>
      </c>
      <c r="F111">
        <v>9</v>
      </c>
      <c r="G111">
        <v>8</v>
      </c>
      <c r="H111">
        <v>4</v>
      </c>
      <c r="I111">
        <v>3</v>
      </c>
      <c r="J111">
        <v>3</v>
      </c>
    </row>
    <row r="112" spans="2:10">
      <c r="B112" t="s">
        <v>231</v>
      </c>
      <c r="C112">
        <v>1</v>
      </c>
      <c r="D112">
        <v>1</v>
      </c>
      <c r="E112">
        <v>2</v>
      </c>
      <c r="F112">
        <v>1</v>
      </c>
      <c r="G112">
        <v>3</v>
      </c>
      <c r="H112">
        <v>1</v>
      </c>
      <c r="I112">
        <v>1</v>
      </c>
      <c r="J112">
        <v>1</v>
      </c>
    </row>
    <row r="113" spans="2:10">
      <c r="B113" t="s">
        <v>232</v>
      </c>
      <c r="C113" s="117">
        <v>1124</v>
      </c>
      <c r="D113" s="117">
        <v>1148</v>
      </c>
      <c r="E113" s="117">
        <v>1175</v>
      </c>
      <c r="F113" s="117">
        <v>1198</v>
      </c>
      <c r="G113" s="117">
        <v>1157</v>
      </c>
      <c r="H113" s="117">
        <v>1256</v>
      </c>
      <c r="I113" s="117">
        <v>1192</v>
      </c>
      <c r="J113" s="117">
        <v>1126</v>
      </c>
    </row>
    <row r="114" spans="2:10">
      <c r="B114" t="s">
        <v>233</v>
      </c>
      <c r="C114">
        <v>685</v>
      </c>
      <c r="D114">
        <v>714</v>
      </c>
      <c r="E114">
        <v>698</v>
      </c>
      <c r="F114">
        <v>778</v>
      </c>
      <c r="G114">
        <v>738</v>
      </c>
      <c r="H114">
        <v>636</v>
      </c>
      <c r="I114">
        <v>593</v>
      </c>
      <c r="J114">
        <v>600</v>
      </c>
    </row>
    <row r="115" spans="2:10">
      <c r="B115" t="s">
        <v>234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</row>
    <row r="116" spans="2:10">
      <c r="B116" t="s">
        <v>235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</row>
    <row r="117" spans="2:10">
      <c r="B117" t="s">
        <v>236</v>
      </c>
      <c r="C117">
        <v>1</v>
      </c>
      <c r="D117">
        <v>1</v>
      </c>
      <c r="E117">
        <v>1</v>
      </c>
      <c r="F117">
        <v>1</v>
      </c>
      <c r="G117">
        <v>0</v>
      </c>
      <c r="H117">
        <v>0</v>
      </c>
      <c r="I117">
        <v>0</v>
      </c>
      <c r="J117">
        <v>0</v>
      </c>
    </row>
    <row r="118" spans="2:10">
      <c r="B118" t="s">
        <v>237</v>
      </c>
      <c r="C118">
        <v>12</v>
      </c>
      <c r="D118">
        <v>12</v>
      </c>
      <c r="E118">
        <v>23</v>
      </c>
      <c r="F118">
        <v>22</v>
      </c>
      <c r="G118">
        <v>17</v>
      </c>
      <c r="H118">
        <v>15</v>
      </c>
      <c r="I118">
        <v>21</v>
      </c>
      <c r="J118">
        <v>21</v>
      </c>
    </row>
    <row r="119" spans="2:10">
      <c r="B119" t="s">
        <v>238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</row>
    <row r="120" spans="2:10">
      <c r="B120" t="s">
        <v>239</v>
      </c>
      <c r="C120">
        <v>-7</v>
      </c>
      <c r="D120">
        <v>-5</v>
      </c>
      <c r="E120">
        <v>-16</v>
      </c>
      <c r="F120">
        <v>-14</v>
      </c>
      <c r="G120">
        <v>-12</v>
      </c>
      <c r="H120">
        <v>-10</v>
      </c>
      <c r="I120">
        <v>-15</v>
      </c>
      <c r="J120">
        <v>-13</v>
      </c>
    </row>
    <row r="121" spans="2:10">
      <c r="B121" t="s">
        <v>240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</row>
    <row r="122" spans="2:10">
      <c r="B122" t="s">
        <v>241</v>
      </c>
      <c r="C122">
        <v>5</v>
      </c>
      <c r="D122">
        <v>1</v>
      </c>
      <c r="E122">
        <v>0</v>
      </c>
      <c r="F122">
        <v>0</v>
      </c>
      <c r="G122">
        <v>2</v>
      </c>
      <c r="H122">
        <v>2</v>
      </c>
      <c r="I122">
        <v>2</v>
      </c>
      <c r="J122">
        <v>0</v>
      </c>
    </row>
    <row r="123" spans="2:10">
      <c r="B123" t="s">
        <v>242</v>
      </c>
      <c r="C123">
        <v>11</v>
      </c>
      <c r="D123">
        <v>8</v>
      </c>
      <c r="E123">
        <v>9</v>
      </c>
      <c r="F123">
        <v>9</v>
      </c>
      <c r="G123">
        <v>7</v>
      </c>
      <c r="H123">
        <v>7</v>
      </c>
      <c r="I123">
        <v>8</v>
      </c>
      <c r="J123">
        <v>8</v>
      </c>
    </row>
    <row r="124" spans="2:10">
      <c r="B124" t="s">
        <v>243</v>
      </c>
      <c r="C124">
        <v>7</v>
      </c>
      <c r="D124">
        <v>7</v>
      </c>
      <c r="E124">
        <v>14</v>
      </c>
      <c r="F124">
        <v>14</v>
      </c>
      <c r="G124">
        <v>14</v>
      </c>
      <c r="H124">
        <v>14</v>
      </c>
      <c r="I124">
        <v>18</v>
      </c>
      <c r="J124">
        <v>20</v>
      </c>
    </row>
    <row r="125" spans="2:10">
      <c r="B125" t="s">
        <v>244</v>
      </c>
      <c r="C125">
        <v>9</v>
      </c>
      <c r="D125">
        <v>8</v>
      </c>
      <c r="E125">
        <v>8</v>
      </c>
      <c r="F125">
        <v>3</v>
      </c>
      <c r="G125">
        <v>3</v>
      </c>
      <c r="H125">
        <v>3</v>
      </c>
      <c r="I125">
        <v>3</v>
      </c>
      <c r="J125">
        <v>3</v>
      </c>
    </row>
    <row r="126" spans="2:10">
      <c r="B126" t="s">
        <v>245</v>
      </c>
      <c r="C126">
        <v>1</v>
      </c>
      <c r="D126">
        <v>1</v>
      </c>
      <c r="E126">
        <v>1</v>
      </c>
      <c r="F126">
        <v>1</v>
      </c>
      <c r="G126">
        <v>1</v>
      </c>
      <c r="H126">
        <v>1</v>
      </c>
      <c r="I126">
        <v>1</v>
      </c>
      <c r="J126">
        <v>2</v>
      </c>
    </row>
    <row r="127" spans="2:10">
      <c r="B127" t="s">
        <v>246</v>
      </c>
      <c r="C127">
        <v>16</v>
      </c>
      <c r="D127">
        <v>15</v>
      </c>
      <c r="E127">
        <v>23</v>
      </c>
      <c r="F127">
        <v>18</v>
      </c>
      <c r="G127">
        <v>17</v>
      </c>
      <c r="H127">
        <v>17</v>
      </c>
      <c r="I127">
        <v>22</v>
      </c>
      <c r="J127">
        <v>25</v>
      </c>
    </row>
    <row r="128" spans="2:10">
      <c r="B128" t="s">
        <v>19</v>
      </c>
      <c r="C128" s="117">
        <v>1837</v>
      </c>
      <c r="D128" s="117">
        <v>1886</v>
      </c>
      <c r="E128" s="117">
        <v>1905</v>
      </c>
      <c r="F128" s="117">
        <v>2003</v>
      </c>
      <c r="G128" s="117">
        <v>1918</v>
      </c>
      <c r="H128" s="117">
        <v>1917</v>
      </c>
      <c r="I128" s="117">
        <v>1814</v>
      </c>
      <c r="J128" s="117">
        <v>1759</v>
      </c>
    </row>
    <row r="129" spans="2:10">
      <c r="B129" t="s">
        <v>268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</row>
    <row r="130" spans="2:10">
      <c r="B130" t="s">
        <v>269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</row>
    <row r="131" spans="2:10">
      <c r="B131" t="s">
        <v>17</v>
      </c>
      <c r="C131">
        <v>165</v>
      </c>
      <c r="D131">
        <v>159</v>
      </c>
      <c r="E131">
        <v>216</v>
      </c>
      <c r="F131">
        <v>173</v>
      </c>
      <c r="G131">
        <v>156</v>
      </c>
      <c r="H131">
        <v>263</v>
      </c>
      <c r="I131">
        <v>273</v>
      </c>
      <c r="J131">
        <v>173</v>
      </c>
    </row>
    <row r="132" spans="2:10">
      <c r="B132" t="s">
        <v>247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</row>
    <row r="133" spans="2:10">
      <c r="B133" t="s">
        <v>248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</row>
    <row r="134" spans="2:10">
      <c r="B134" t="s">
        <v>249</v>
      </c>
      <c r="C134">
        <v>80</v>
      </c>
      <c r="D134">
        <v>108</v>
      </c>
      <c r="E134">
        <v>100</v>
      </c>
      <c r="F134">
        <v>182</v>
      </c>
      <c r="G134">
        <v>84</v>
      </c>
      <c r="H134">
        <v>98</v>
      </c>
      <c r="I134">
        <v>85</v>
      </c>
      <c r="J134">
        <v>148</v>
      </c>
    </row>
    <row r="135" spans="2:10">
      <c r="B135" t="s">
        <v>250</v>
      </c>
      <c r="C135">
        <v>1</v>
      </c>
      <c r="D135">
        <v>0</v>
      </c>
      <c r="E135">
        <v>2</v>
      </c>
      <c r="F135">
        <v>6</v>
      </c>
      <c r="G135">
        <v>12</v>
      </c>
      <c r="H135">
        <v>10</v>
      </c>
      <c r="I135">
        <v>0</v>
      </c>
      <c r="J135">
        <v>0</v>
      </c>
    </row>
    <row r="136" spans="2:10">
      <c r="B136" t="s">
        <v>251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</row>
    <row r="137" spans="2:10">
      <c r="B137" t="s">
        <v>252</v>
      </c>
      <c r="C137">
        <v>1</v>
      </c>
      <c r="D137">
        <v>4</v>
      </c>
      <c r="E137">
        <v>1</v>
      </c>
      <c r="F137">
        <v>1</v>
      </c>
      <c r="G137">
        <v>3</v>
      </c>
      <c r="H137">
        <v>2</v>
      </c>
      <c r="I137">
        <v>1</v>
      </c>
      <c r="J137">
        <v>1</v>
      </c>
    </row>
    <row r="138" spans="2:10">
      <c r="B138" t="s">
        <v>253</v>
      </c>
      <c r="C138">
        <v>247</v>
      </c>
      <c r="D138">
        <v>272</v>
      </c>
      <c r="E138">
        <v>319</v>
      </c>
      <c r="F138">
        <v>362</v>
      </c>
      <c r="G138">
        <v>256</v>
      </c>
      <c r="H138">
        <v>373</v>
      </c>
      <c r="I138">
        <v>359</v>
      </c>
      <c r="J138">
        <v>322</v>
      </c>
    </row>
    <row r="139" spans="2:10">
      <c r="B139" t="s">
        <v>254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</row>
    <row r="140" spans="2:10">
      <c r="B140" t="s">
        <v>255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</row>
    <row r="141" spans="2:10">
      <c r="B141" t="s">
        <v>256</v>
      </c>
      <c r="C141">
        <v>3</v>
      </c>
      <c r="D141">
        <v>3</v>
      </c>
      <c r="E141">
        <v>1</v>
      </c>
      <c r="F141">
        <v>1</v>
      </c>
      <c r="G141">
        <v>1</v>
      </c>
      <c r="H141">
        <v>1</v>
      </c>
      <c r="I141">
        <v>5</v>
      </c>
      <c r="J141">
        <v>5</v>
      </c>
    </row>
    <row r="142" spans="2:10">
      <c r="B142" t="s">
        <v>257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</row>
    <row r="143" spans="2:10">
      <c r="B143" t="s">
        <v>258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</row>
    <row r="144" spans="2:10">
      <c r="B144" t="s">
        <v>259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</row>
    <row r="145" spans="2:10">
      <c r="B145" t="s">
        <v>260</v>
      </c>
      <c r="C145">
        <v>1</v>
      </c>
      <c r="D145">
        <v>1</v>
      </c>
      <c r="E145">
        <v>1</v>
      </c>
      <c r="F145">
        <v>1</v>
      </c>
      <c r="G145">
        <v>1</v>
      </c>
      <c r="H145">
        <v>1</v>
      </c>
      <c r="I145">
        <v>1</v>
      </c>
      <c r="J145">
        <v>1</v>
      </c>
    </row>
    <row r="146" spans="2:10">
      <c r="B146" t="s">
        <v>261</v>
      </c>
      <c r="C146">
        <v>3</v>
      </c>
      <c r="D146">
        <v>3</v>
      </c>
      <c r="E146">
        <v>2</v>
      </c>
      <c r="F146">
        <v>2</v>
      </c>
      <c r="G146">
        <v>2</v>
      </c>
      <c r="H146">
        <v>2</v>
      </c>
      <c r="I146">
        <v>5</v>
      </c>
      <c r="J146">
        <v>5</v>
      </c>
    </row>
    <row r="147" spans="2:10">
      <c r="B147" t="s">
        <v>18</v>
      </c>
      <c r="C147">
        <v>250</v>
      </c>
      <c r="D147">
        <v>275</v>
      </c>
      <c r="E147">
        <v>321</v>
      </c>
      <c r="F147">
        <v>364</v>
      </c>
      <c r="G147">
        <v>258</v>
      </c>
      <c r="H147">
        <v>375</v>
      </c>
      <c r="I147">
        <v>364</v>
      </c>
      <c r="J147">
        <v>327</v>
      </c>
    </row>
    <row r="148" spans="2:10">
      <c r="B148" t="s">
        <v>262</v>
      </c>
      <c r="C148" s="117">
        <v>1587</v>
      </c>
      <c r="D148" s="117">
        <v>1611</v>
      </c>
      <c r="E148" s="117">
        <v>1584</v>
      </c>
      <c r="F148" s="117">
        <v>1640</v>
      </c>
      <c r="G148" s="117">
        <v>1660</v>
      </c>
      <c r="H148" s="117">
        <v>1541</v>
      </c>
      <c r="I148" s="117">
        <v>1450</v>
      </c>
      <c r="J148" s="117">
        <v>1432</v>
      </c>
    </row>
    <row r="149" spans="2:10">
      <c r="B149" t="s">
        <v>270</v>
      </c>
      <c r="C149">
        <v>506</v>
      </c>
      <c r="D149">
        <v>506</v>
      </c>
      <c r="E149">
        <v>506</v>
      </c>
      <c r="F149">
        <v>506</v>
      </c>
      <c r="G149">
        <v>506</v>
      </c>
      <c r="H149">
        <v>506</v>
      </c>
      <c r="I149">
        <v>506</v>
      </c>
      <c r="J149">
        <v>506</v>
      </c>
    </row>
    <row r="150" spans="2:10">
      <c r="B150" t="s">
        <v>271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</row>
    <row r="151" spans="2:10">
      <c r="B151" t="s">
        <v>272</v>
      </c>
      <c r="C151">
        <v>557</v>
      </c>
      <c r="D151">
        <v>557</v>
      </c>
      <c r="E151">
        <v>557</v>
      </c>
      <c r="F151">
        <v>557</v>
      </c>
      <c r="G151">
        <v>557</v>
      </c>
      <c r="H151">
        <v>557</v>
      </c>
      <c r="I151">
        <v>557</v>
      </c>
      <c r="J151">
        <v>557</v>
      </c>
    </row>
    <row r="152" spans="2:10">
      <c r="B152" t="s">
        <v>273</v>
      </c>
      <c r="C152">
        <v>89</v>
      </c>
      <c r="D152">
        <v>89</v>
      </c>
      <c r="E152">
        <v>89</v>
      </c>
      <c r="F152">
        <v>89</v>
      </c>
      <c r="G152">
        <v>79</v>
      </c>
      <c r="H152">
        <v>79</v>
      </c>
      <c r="I152">
        <v>79</v>
      </c>
      <c r="J152">
        <v>79</v>
      </c>
    </row>
    <row r="153" spans="2:10">
      <c r="B153" t="s">
        <v>274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</row>
    <row r="154" spans="2:10">
      <c r="B154" t="s">
        <v>275</v>
      </c>
      <c r="C154">
        <v>153</v>
      </c>
      <c r="D154">
        <v>148</v>
      </c>
      <c r="E154">
        <v>138</v>
      </c>
      <c r="F154">
        <v>114</v>
      </c>
      <c r="G154">
        <v>186</v>
      </c>
      <c r="H154">
        <v>168</v>
      </c>
      <c r="I154">
        <v>121</v>
      </c>
      <c r="J154">
        <v>95</v>
      </c>
    </row>
    <row r="155" spans="2:10">
      <c r="B155" t="s">
        <v>276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</row>
    <row r="156" spans="2:10">
      <c r="B156" t="s">
        <v>263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</row>
    <row r="157" spans="2:10">
      <c r="B157" t="s">
        <v>264</v>
      </c>
      <c r="C157" s="117">
        <v>1837</v>
      </c>
      <c r="D157" s="117">
        <v>1886</v>
      </c>
      <c r="E157" s="117">
        <v>1905</v>
      </c>
      <c r="F157" s="117">
        <v>2003</v>
      </c>
      <c r="G157" s="117">
        <v>1918</v>
      </c>
      <c r="H157" s="117">
        <v>1917</v>
      </c>
      <c r="I157" s="117">
        <v>1814</v>
      </c>
      <c r="J157" s="117">
        <v>1759</v>
      </c>
    </row>
    <row r="158" spans="2:10">
      <c r="B158" t="s">
        <v>157</v>
      </c>
    </row>
    <row r="159" spans="2:10">
      <c r="B159" t="s">
        <v>158</v>
      </c>
    </row>
    <row r="201" spans="2:10">
      <c r="B201" t="s">
        <v>623</v>
      </c>
    </row>
    <row r="202" spans="2:10">
      <c r="B202" t="s">
        <v>65</v>
      </c>
    </row>
    <row r="203" spans="2:10">
      <c r="B203" t="s">
        <v>93</v>
      </c>
      <c r="C203" t="s">
        <v>94</v>
      </c>
      <c r="D203" t="s">
        <v>95</v>
      </c>
      <c r="E203" t="s">
        <v>96</v>
      </c>
      <c r="F203" t="s">
        <v>97</v>
      </c>
      <c r="G203" t="s">
        <v>98</v>
      </c>
      <c r="H203" t="s">
        <v>99</v>
      </c>
      <c r="I203" t="s">
        <v>100</v>
      </c>
      <c r="J203" t="s">
        <v>101</v>
      </c>
    </row>
    <row r="204" spans="2:10">
      <c r="B204" t="s">
        <v>159</v>
      </c>
      <c r="C204">
        <v>5</v>
      </c>
      <c r="D204">
        <v>12</v>
      </c>
      <c r="E204">
        <v>24</v>
      </c>
      <c r="F204">
        <v>30</v>
      </c>
      <c r="G204">
        <v>18</v>
      </c>
      <c r="H204">
        <v>44</v>
      </c>
      <c r="I204">
        <v>26</v>
      </c>
      <c r="J204">
        <v>26</v>
      </c>
    </row>
    <row r="205" spans="2:10">
      <c r="B205" t="s">
        <v>160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</row>
    <row r="206" spans="2:10">
      <c r="B206" t="s">
        <v>161</v>
      </c>
      <c r="C206">
        <v>2</v>
      </c>
      <c r="D206">
        <v>2</v>
      </c>
      <c r="E206">
        <v>2</v>
      </c>
      <c r="F206">
        <v>2</v>
      </c>
      <c r="G206">
        <v>2</v>
      </c>
      <c r="H206">
        <v>2</v>
      </c>
      <c r="I206">
        <v>2</v>
      </c>
      <c r="J206">
        <v>2</v>
      </c>
    </row>
    <row r="207" spans="2:10">
      <c r="B207" t="s">
        <v>162</v>
      </c>
      <c r="C207">
        <v>1</v>
      </c>
      <c r="D207">
        <v>1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</row>
    <row r="208" spans="2:10">
      <c r="B208" t="s">
        <v>163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</row>
    <row r="209" spans="2:10">
      <c r="B209" t="s">
        <v>164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</row>
    <row r="210" spans="2:10">
      <c r="B210" t="s">
        <v>165</v>
      </c>
      <c r="C210">
        <v>0</v>
      </c>
      <c r="D210">
        <v>0</v>
      </c>
      <c r="E210">
        <v>31</v>
      </c>
      <c r="F210">
        <v>0</v>
      </c>
      <c r="G210">
        <v>0</v>
      </c>
      <c r="H210">
        <v>0</v>
      </c>
      <c r="I210">
        <v>32</v>
      </c>
      <c r="J210">
        <v>0</v>
      </c>
    </row>
    <row r="211" spans="2:10">
      <c r="B211" t="s">
        <v>166</v>
      </c>
      <c r="C211" t="s">
        <v>145</v>
      </c>
      <c r="D211" t="s">
        <v>145</v>
      </c>
      <c r="E211" t="s">
        <v>145</v>
      </c>
      <c r="F211" t="s">
        <v>145</v>
      </c>
      <c r="G211" t="s">
        <v>145</v>
      </c>
      <c r="H211" t="s">
        <v>145</v>
      </c>
      <c r="I211" t="s">
        <v>145</v>
      </c>
      <c r="J211" t="s">
        <v>145</v>
      </c>
    </row>
    <row r="212" spans="2:10">
      <c r="B212" t="s">
        <v>167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</row>
    <row r="213" spans="2:10">
      <c r="B213" t="s">
        <v>168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</row>
    <row r="214" spans="2:10">
      <c r="B214" t="s">
        <v>169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-1</v>
      </c>
      <c r="I214">
        <v>0</v>
      </c>
      <c r="J214">
        <v>0</v>
      </c>
    </row>
    <row r="215" spans="2:10">
      <c r="B215" t="s">
        <v>170</v>
      </c>
      <c r="C215">
        <v>4</v>
      </c>
      <c r="D215">
        <v>38</v>
      </c>
      <c r="E215">
        <v>-21</v>
      </c>
      <c r="F215">
        <v>-18</v>
      </c>
      <c r="G215">
        <v>71</v>
      </c>
      <c r="H215">
        <v>45</v>
      </c>
      <c r="I215">
        <v>-83</v>
      </c>
      <c r="J215">
        <v>-45</v>
      </c>
    </row>
    <row r="216" spans="2:10">
      <c r="B216" t="s">
        <v>171</v>
      </c>
      <c r="C216">
        <v>-14</v>
      </c>
      <c r="D216">
        <v>38</v>
      </c>
      <c r="E216">
        <v>-11</v>
      </c>
      <c r="F216">
        <v>-14</v>
      </c>
      <c r="G216">
        <v>-6</v>
      </c>
      <c r="H216">
        <v>3</v>
      </c>
      <c r="I216">
        <v>-12</v>
      </c>
      <c r="J216">
        <v>-14</v>
      </c>
    </row>
    <row r="217" spans="2:10">
      <c r="B217" t="s">
        <v>172</v>
      </c>
      <c r="C217">
        <v>5</v>
      </c>
      <c r="D217">
        <v>-57</v>
      </c>
      <c r="E217">
        <v>43</v>
      </c>
      <c r="F217">
        <v>16</v>
      </c>
      <c r="G217">
        <v>-107</v>
      </c>
      <c r="H217">
        <v>-10</v>
      </c>
      <c r="I217">
        <v>101</v>
      </c>
      <c r="J217">
        <v>11</v>
      </c>
    </row>
    <row r="218" spans="2:10">
      <c r="B218" t="s">
        <v>173</v>
      </c>
      <c r="C218">
        <v>-33</v>
      </c>
      <c r="D218">
        <v>12</v>
      </c>
      <c r="E218">
        <v>8</v>
      </c>
      <c r="F218">
        <v>-33</v>
      </c>
      <c r="G218">
        <v>-17</v>
      </c>
      <c r="H218">
        <v>30</v>
      </c>
      <c r="I218">
        <v>-2</v>
      </c>
      <c r="J218">
        <v>-3</v>
      </c>
    </row>
    <row r="219" spans="2:10">
      <c r="B219" t="s">
        <v>20</v>
      </c>
      <c r="C219">
        <v>-69</v>
      </c>
      <c r="D219">
        <v>114</v>
      </c>
      <c r="E219">
        <v>80</v>
      </c>
      <c r="F219">
        <v>58</v>
      </c>
      <c r="G219">
        <v>-85</v>
      </c>
      <c r="H219">
        <v>96</v>
      </c>
      <c r="I219">
        <v>13</v>
      </c>
      <c r="J219">
        <v>56</v>
      </c>
    </row>
    <row r="220" spans="2:10">
      <c r="B220" t="s">
        <v>174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</row>
    <row r="221" spans="2:10">
      <c r="B221" t="s">
        <v>175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</row>
    <row r="222" spans="2:10">
      <c r="B222" t="s">
        <v>22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</row>
    <row r="223" spans="2:10">
      <c r="B223" t="s">
        <v>176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</row>
    <row r="224" spans="2:10">
      <c r="B224" t="s">
        <v>21</v>
      </c>
      <c r="C224">
        <v>-1</v>
      </c>
      <c r="D224">
        <v>-2</v>
      </c>
      <c r="E224">
        <v>-2</v>
      </c>
      <c r="F224">
        <v>-3</v>
      </c>
      <c r="G224">
        <v>-1</v>
      </c>
      <c r="H224">
        <v>-1</v>
      </c>
      <c r="I224">
        <v>-1</v>
      </c>
      <c r="J224">
        <v>-2</v>
      </c>
    </row>
    <row r="225" spans="2:10">
      <c r="B225" t="s">
        <v>177</v>
      </c>
      <c r="C225">
        <v>-2</v>
      </c>
      <c r="D225">
        <v>0</v>
      </c>
      <c r="E225">
        <v>-6</v>
      </c>
      <c r="F225">
        <v>-1</v>
      </c>
      <c r="G225">
        <v>0</v>
      </c>
      <c r="H225">
        <v>0</v>
      </c>
      <c r="I225">
        <v>0</v>
      </c>
      <c r="J225">
        <v>0</v>
      </c>
    </row>
    <row r="226" spans="2:10">
      <c r="B226" t="s">
        <v>178</v>
      </c>
      <c r="C226">
        <v>-3</v>
      </c>
      <c r="D226">
        <v>-2</v>
      </c>
      <c r="E226">
        <v>-8</v>
      </c>
      <c r="F226">
        <v>-4</v>
      </c>
      <c r="G226">
        <v>-2</v>
      </c>
      <c r="H226">
        <v>-1</v>
      </c>
      <c r="I226">
        <v>-1</v>
      </c>
      <c r="J226">
        <v>-2</v>
      </c>
    </row>
    <row r="227" spans="2:10">
      <c r="B227" t="s">
        <v>179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</row>
    <row r="228" spans="2:10">
      <c r="B228" t="s">
        <v>180</v>
      </c>
      <c r="C228">
        <v>0</v>
      </c>
      <c r="D228">
        <v>0</v>
      </c>
      <c r="E228">
        <v>-91</v>
      </c>
      <c r="F228">
        <v>0</v>
      </c>
      <c r="G228">
        <v>0</v>
      </c>
      <c r="H228">
        <v>0</v>
      </c>
      <c r="I228">
        <v>-61</v>
      </c>
      <c r="J228">
        <v>0</v>
      </c>
    </row>
    <row r="229" spans="2:10">
      <c r="B229" t="s">
        <v>181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</row>
    <row r="230" spans="2:10">
      <c r="B230" t="s">
        <v>182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</row>
    <row r="231" spans="2:10">
      <c r="B231" t="s">
        <v>183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</row>
    <row r="232" spans="2:10">
      <c r="B232" t="s">
        <v>184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</row>
    <row r="233" spans="2:10">
      <c r="B233" t="s">
        <v>185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</row>
    <row r="234" spans="2:10">
      <c r="B234" t="s">
        <v>186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</row>
    <row r="235" spans="2:10">
      <c r="B235" t="s">
        <v>187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</row>
    <row r="236" spans="2:10">
      <c r="B236" t="s">
        <v>188</v>
      </c>
      <c r="C236">
        <v>0</v>
      </c>
      <c r="D236">
        <v>0</v>
      </c>
      <c r="E236">
        <v>-91</v>
      </c>
      <c r="F236">
        <v>0</v>
      </c>
      <c r="G236">
        <v>0</v>
      </c>
      <c r="H236">
        <v>0</v>
      </c>
      <c r="I236">
        <v>-61</v>
      </c>
      <c r="J236">
        <v>0</v>
      </c>
    </row>
    <row r="237" spans="2:10">
      <c r="B237" t="s">
        <v>189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</row>
    <row r="238" spans="2:10">
      <c r="B238" t="s">
        <v>190</v>
      </c>
      <c r="C238">
        <v>-72</v>
      </c>
      <c r="D238">
        <v>112</v>
      </c>
      <c r="E238">
        <v>-18</v>
      </c>
      <c r="F238">
        <v>53</v>
      </c>
      <c r="G238">
        <v>-87</v>
      </c>
      <c r="H238">
        <v>95</v>
      </c>
      <c r="I238">
        <v>-49</v>
      </c>
      <c r="J238">
        <v>55</v>
      </c>
    </row>
    <row r="239" spans="2:10">
      <c r="B239" t="s">
        <v>191</v>
      </c>
      <c r="C239">
        <v>713</v>
      </c>
      <c r="D239">
        <v>601</v>
      </c>
      <c r="E239">
        <v>619</v>
      </c>
      <c r="F239">
        <v>565</v>
      </c>
      <c r="G239">
        <v>652</v>
      </c>
      <c r="H239">
        <v>557</v>
      </c>
      <c r="I239">
        <v>606</v>
      </c>
      <c r="J239">
        <v>551</v>
      </c>
    </row>
    <row r="240" spans="2:10">
      <c r="B240" t="s">
        <v>192</v>
      </c>
      <c r="C240">
        <v>641</v>
      </c>
      <c r="D240">
        <v>713</v>
      </c>
      <c r="E240">
        <v>601</v>
      </c>
      <c r="F240">
        <v>619</v>
      </c>
      <c r="G240">
        <v>565</v>
      </c>
      <c r="H240">
        <v>652</v>
      </c>
      <c r="I240">
        <v>557</v>
      </c>
      <c r="J240">
        <v>606</v>
      </c>
    </row>
    <row r="241" spans="2:10">
      <c r="B241" t="s">
        <v>193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</row>
    <row r="242" spans="2:10">
      <c r="B242" t="s">
        <v>194</v>
      </c>
      <c r="C242" t="s">
        <v>145</v>
      </c>
      <c r="D242" t="s">
        <v>145</v>
      </c>
      <c r="E242" t="s">
        <v>145</v>
      </c>
      <c r="F242" t="s">
        <v>145</v>
      </c>
      <c r="G242" t="s">
        <v>145</v>
      </c>
      <c r="H242" t="s">
        <v>145</v>
      </c>
      <c r="I242" t="s">
        <v>145</v>
      </c>
      <c r="J242" t="s">
        <v>145</v>
      </c>
    </row>
    <row r="243" spans="2:10">
      <c r="B243" t="s">
        <v>195</v>
      </c>
    </row>
    <row r="244" spans="2:10">
      <c r="B244" t="s">
        <v>196</v>
      </c>
    </row>
    <row r="245" spans="2:10">
      <c r="B245" t="s">
        <v>157</v>
      </c>
    </row>
    <row r="246" spans="2:10">
      <c r="B246" t="s">
        <v>158</v>
      </c>
    </row>
  </sheetData>
  <sheetProtection sheet="1" objects="1" scenarios="1"/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10"/>
  <sheetViews>
    <sheetView workbookViewId="0">
      <selection activeCell="R12" sqref="R12"/>
    </sheetView>
  </sheetViews>
  <sheetFormatPr defaultRowHeight="16.5"/>
  <cols>
    <col min="13" max="13" width="2" customWidth="1"/>
    <col min="14" max="14" width="10.625" style="118" bestFit="1" customWidth="1"/>
  </cols>
  <sheetData>
    <row r="1" spans="1:16" ht="16.5" customHeight="1">
      <c r="A1" s="128" t="s">
        <v>197</v>
      </c>
      <c r="B1" s="206" t="s">
        <v>199</v>
      </c>
      <c r="C1" s="206" t="s">
        <v>200</v>
      </c>
      <c r="D1" s="206" t="s">
        <v>201</v>
      </c>
      <c r="E1" s="206" t="s">
        <v>202</v>
      </c>
      <c r="F1" s="206" t="s">
        <v>203</v>
      </c>
      <c r="G1" s="206" t="s">
        <v>204</v>
      </c>
      <c r="H1" s="206" t="s">
        <v>205</v>
      </c>
      <c r="I1" s="206" t="s">
        <v>206</v>
      </c>
      <c r="J1" s="206" t="s">
        <v>207</v>
      </c>
      <c r="K1" s="206" t="s">
        <v>208</v>
      </c>
      <c r="L1" s="206" t="s">
        <v>209</v>
      </c>
      <c r="N1" s="118" t="str">
        <f>A3</f>
        <v>3706神達</v>
      </c>
      <c r="O1" s="118" t="str">
        <f>A13</f>
        <v>3499環天科</v>
      </c>
      <c r="P1" s="118" t="str">
        <f>A23</f>
        <v>3306鼎天</v>
      </c>
    </row>
    <row r="2" spans="1:16" ht="17.25" thickBot="1">
      <c r="A2" s="129" t="s">
        <v>198</v>
      </c>
      <c r="B2" s="207"/>
      <c r="C2" s="207"/>
      <c r="D2" s="207"/>
      <c r="E2" s="207"/>
      <c r="F2" s="207"/>
      <c r="G2" s="207"/>
      <c r="H2" s="207"/>
      <c r="I2" s="207"/>
      <c r="J2" s="207"/>
      <c r="K2" s="207"/>
      <c r="L2" s="207"/>
      <c r="N2" s="118">
        <f>SUM(PK!G11:J11)</f>
        <v>1.65</v>
      </c>
      <c r="O2" s="118">
        <f>SUM(PK!G12:J12)</f>
        <v>-0.23</v>
      </c>
      <c r="P2" s="118">
        <f>SUM(PK!G13:J13)</f>
        <v>1.4100000000000001</v>
      </c>
    </row>
    <row r="3" spans="1:16">
      <c r="A3" s="23" t="s">
        <v>625</v>
      </c>
      <c r="B3" s="272">
        <v>0.60416666666666663</v>
      </c>
      <c r="C3" s="222">
        <v>29.7</v>
      </c>
      <c r="D3" s="216">
        <v>29.65</v>
      </c>
      <c r="E3" s="216">
        <v>29.75</v>
      </c>
      <c r="F3" s="266" t="s">
        <v>626</v>
      </c>
      <c r="G3" s="228">
        <v>13098</v>
      </c>
      <c r="H3" s="216">
        <v>29.65</v>
      </c>
      <c r="I3" s="216">
        <v>29.9</v>
      </c>
      <c r="J3" s="216">
        <v>30.2</v>
      </c>
      <c r="K3" s="216">
        <v>28.7</v>
      </c>
      <c r="L3" s="26" t="s">
        <v>211</v>
      </c>
      <c r="N3" s="119">
        <f>IF(N2&gt;0,C3/N2,100)</f>
        <v>18</v>
      </c>
      <c r="O3" s="119">
        <f>IF(O2&gt;0,C13/O2,100)</f>
        <v>100</v>
      </c>
      <c r="P3" s="119">
        <f>IF(P2&gt;0,C23/P2,100)</f>
        <v>19.503546099290777</v>
      </c>
    </row>
    <row r="4" spans="1:16" ht="28.5">
      <c r="A4" s="24" t="s">
        <v>210</v>
      </c>
      <c r="B4" s="273"/>
      <c r="C4" s="223"/>
      <c r="D4" s="217"/>
      <c r="E4" s="217"/>
      <c r="F4" s="267"/>
      <c r="G4" s="229"/>
      <c r="H4" s="217"/>
      <c r="I4" s="217"/>
      <c r="J4" s="217"/>
      <c r="K4" s="217"/>
      <c r="L4" s="22" t="s">
        <v>212</v>
      </c>
    </row>
    <row r="5" spans="1:16">
      <c r="A5" s="120"/>
      <c r="B5" s="273"/>
      <c r="C5" s="223"/>
      <c r="D5" s="217"/>
      <c r="E5" s="217"/>
      <c r="F5" s="267"/>
      <c r="G5" s="229"/>
      <c r="H5" s="217"/>
      <c r="I5" s="217"/>
      <c r="J5" s="217"/>
      <c r="K5" s="217"/>
      <c r="L5" s="22" t="s">
        <v>213</v>
      </c>
    </row>
    <row r="6" spans="1:16" ht="17.25" thickBot="1">
      <c r="A6" s="25"/>
      <c r="B6" s="274"/>
      <c r="C6" s="224"/>
      <c r="D6" s="218"/>
      <c r="E6" s="218"/>
      <c r="F6" s="268"/>
      <c r="G6" s="230"/>
      <c r="H6" s="218"/>
      <c r="I6" s="218"/>
      <c r="J6" s="218"/>
      <c r="K6" s="218"/>
      <c r="L6" s="27" t="s">
        <v>214</v>
      </c>
    </row>
    <row r="7" spans="1:16" ht="17.25" customHeight="1" thickBot="1">
      <c r="A7" s="121" t="s">
        <v>215</v>
      </c>
      <c r="B7" s="269" t="s">
        <v>216</v>
      </c>
      <c r="C7" s="270"/>
      <c r="D7" s="270"/>
      <c r="E7" s="270"/>
      <c r="F7" s="270"/>
      <c r="G7" s="270"/>
      <c r="H7" s="270"/>
      <c r="I7" s="270"/>
      <c r="J7" s="270"/>
      <c r="K7" s="270"/>
      <c r="L7" s="271"/>
    </row>
    <row r="10" spans="1:16" ht="17.25" thickBot="1"/>
    <row r="11" spans="1:16" ht="16.5" customHeight="1">
      <c r="A11" s="128" t="s">
        <v>197</v>
      </c>
      <c r="B11" s="206" t="s">
        <v>199</v>
      </c>
      <c r="C11" s="206" t="s">
        <v>200</v>
      </c>
      <c r="D11" s="206" t="s">
        <v>201</v>
      </c>
      <c r="E11" s="206" t="s">
        <v>202</v>
      </c>
      <c r="F11" s="206" t="s">
        <v>203</v>
      </c>
      <c r="G11" s="206" t="s">
        <v>204</v>
      </c>
      <c r="H11" s="206" t="s">
        <v>205</v>
      </c>
      <c r="I11" s="206" t="s">
        <v>206</v>
      </c>
      <c r="J11" s="206" t="s">
        <v>207</v>
      </c>
      <c r="K11" s="206" t="s">
        <v>208</v>
      </c>
      <c r="L11" s="206" t="s">
        <v>209</v>
      </c>
    </row>
    <row r="12" spans="1:16" ht="17.25" thickBot="1">
      <c r="A12" s="129" t="s">
        <v>198</v>
      </c>
      <c r="B12" s="207"/>
      <c r="C12" s="207"/>
      <c r="D12" s="207"/>
      <c r="E12" s="207"/>
      <c r="F12" s="207"/>
      <c r="G12" s="207"/>
      <c r="H12" s="207"/>
      <c r="I12" s="207"/>
      <c r="J12" s="207"/>
      <c r="K12" s="207"/>
      <c r="L12" s="207"/>
    </row>
    <row r="13" spans="1:16" ht="33">
      <c r="A13" s="23" t="s">
        <v>627</v>
      </c>
      <c r="B13" s="272">
        <v>0.60416666666666663</v>
      </c>
      <c r="C13" s="222">
        <v>21.65</v>
      </c>
      <c r="D13" s="216">
        <v>21.65</v>
      </c>
      <c r="E13" s="216">
        <v>21.7</v>
      </c>
      <c r="F13" s="266" t="s">
        <v>628</v>
      </c>
      <c r="G13" s="228">
        <v>3223</v>
      </c>
      <c r="H13" s="216">
        <v>21.3</v>
      </c>
      <c r="I13" s="216">
        <v>21.95</v>
      </c>
      <c r="J13" s="216">
        <v>22.75</v>
      </c>
      <c r="K13" s="216">
        <v>21.6</v>
      </c>
      <c r="L13" s="26" t="s">
        <v>211</v>
      </c>
    </row>
    <row r="14" spans="1:16" ht="28.5">
      <c r="A14" s="24" t="s">
        <v>210</v>
      </c>
      <c r="B14" s="273"/>
      <c r="C14" s="223"/>
      <c r="D14" s="217"/>
      <c r="E14" s="217"/>
      <c r="F14" s="267"/>
      <c r="G14" s="229"/>
      <c r="H14" s="217"/>
      <c r="I14" s="217"/>
      <c r="J14" s="217"/>
      <c r="K14" s="217"/>
      <c r="L14" s="22" t="s">
        <v>212</v>
      </c>
    </row>
    <row r="15" spans="1:16">
      <c r="A15" s="120"/>
      <c r="B15" s="273"/>
      <c r="C15" s="223"/>
      <c r="D15" s="217"/>
      <c r="E15" s="217"/>
      <c r="F15" s="267"/>
      <c r="G15" s="229"/>
      <c r="H15" s="217"/>
      <c r="I15" s="217"/>
      <c r="J15" s="217"/>
      <c r="K15" s="217"/>
      <c r="L15" s="22" t="s">
        <v>213</v>
      </c>
    </row>
    <row r="16" spans="1:16" ht="17.25" thickBot="1">
      <c r="A16" s="25"/>
      <c r="B16" s="274"/>
      <c r="C16" s="224"/>
      <c r="D16" s="218"/>
      <c r="E16" s="218"/>
      <c r="F16" s="268"/>
      <c r="G16" s="230"/>
      <c r="H16" s="218"/>
      <c r="I16" s="218"/>
      <c r="J16" s="218"/>
      <c r="K16" s="218"/>
      <c r="L16" s="27" t="s">
        <v>214</v>
      </c>
    </row>
    <row r="17" spans="1:12" ht="17.25" customHeight="1" thickBot="1">
      <c r="A17" s="121" t="s">
        <v>215</v>
      </c>
      <c r="B17" s="269" t="s">
        <v>216</v>
      </c>
      <c r="C17" s="270"/>
      <c r="D17" s="270"/>
      <c r="E17" s="270"/>
      <c r="F17" s="270"/>
      <c r="G17" s="270"/>
      <c r="H17" s="270"/>
      <c r="I17" s="270"/>
      <c r="J17" s="270"/>
      <c r="K17" s="270"/>
      <c r="L17" s="271"/>
    </row>
    <row r="20" spans="1:12" ht="17.25" thickBot="1"/>
    <row r="21" spans="1:12" ht="16.5" customHeight="1">
      <c r="A21" s="128" t="s">
        <v>197</v>
      </c>
      <c r="B21" s="206" t="s">
        <v>199</v>
      </c>
      <c r="C21" s="206" t="s">
        <v>200</v>
      </c>
      <c r="D21" s="206" t="s">
        <v>201</v>
      </c>
      <c r="E21" s="206" t="s">
        <v>202</v>
      </c>
      <c r="F21" s="206" t="s">
        <v>203</v>
      </c>
      <c r="G21" s="206" t="s">
        <v>204</v>
      </c>
      <c r="H21" s="206" t="s">
        <v>205</v>
      </c>
      <c r="I21" s="206" t="s">
        <v>206</v>
      </c>
      <c r="J21" s="206" t="s">
        <v>207</v>
      </c>
      <c r="K21" s="206" t="s">
        <v>208</v>
      </c>
      <c r="L21" s="206" t="s">
        <v>209</v>
      </c>
    </row>
    <row r="22" spans="1:12" ht="17.25" thickBot="1">
      <c r="A22" s="129" t="s">
        <v>198</v>
      </c>
      <c r="B22" s="207"/>
      <c r="C22" s="207"/>
      <c r="D22" s="207"/>
      <c r="E22" s="207"/>
      <c r="F22" s="207"/>
      <c r="G22" s="207"/>
      <c r="H22" s="207"/>
      <c r="I22" s="207"/>
      <c r="J22" s="207"/>
      <c r="K22" s="207"/>
      <c r="L22" s="207"/>
    </row>
    <row r="23" spans="1:12">
      <c r="A23" s="23" t="s">
        <v>629</v>
      </c>
      <c r="B23" s="219">
        <v>0.60416666666666663</v>
      </c>
      <c r="C23" s="222">
        <v>27.5</v>
      </c>
      <c r="D23" s="225">
        <v>27.5</v>
      </c>
      <c r="E23" s="225" t="s">
        <v>616</v>
      </c>
      <c r="F23" s="266" t="s">
        <v>630</v>
      </c>
      <c r="G23" s="228">
        <v>129</v>
      </c>
      <c r="H23" s="216">
        <v>25</v>
      </c>
      <c r="I23" s="216">
        <v>26.2</v>
      </c>
      <c r="J23" s="216">
        <v>27.5</v>
      </c>
      <c r="K23" s="216">
        <v>26.1</v>
      </c>
      <c r="L23" s="26" t="s">
        <v>211</v>
      </c>
    </row>
    <row r="24" spans="1:12" ht="28.5">
      <c r="A24" s="24" t="s">
        <v>210</v>
      </c>
      <c r="B24" s="220"/>
      <c r="C24" s="223"/>
      <c r="D24" s="226"/>
      <c r="E24" s="226"/>
      <c r="F24" s="267"/>
      <c r="G24" s="229"/>
      <c r="H24" s="217"/>
      <c r="I24" s="217"/>
      <c r="J24" s="217"/>
      <c r="K24" s="217"/>
      <c r="L24" s="22" t="s">
        <v>212</v>
      </c>
    </row>
    <row r="25" spans="1:12">
      <c r="A25" s="74"/>
      <c r="B25" s="220"/>
      <c r="C25" s="223"/>
      <c r="D25" s="226"/>
      <c r="E25" s="226"/>
      <c r="F25" s="267"/>
      <c r="G25" s="229"/>
      <c r="H25" s="217"/>
      <c r="I25" s="217"/>
      <c r="J25" s="217"/>
      <c r="K25" s="217"/>
      <c r="L25" s="22" t="s">
        <v>213</v>
      </c>
    </row>
    <row r="26" spans="1:12" ht="17.25" thickBot="1">
      <c r="A26" s="25"/>
      <c r="B26" s="221"/>
      <c r="C26" s="224"/>
      <c r="D26" s="227"/>
      <c r="E26" s="227"/>
      <c r="F26" s="268"/>
      <c r="G26" s="230"/>
      <c r="H26" s="218"/>
      <c r="I26" s="218"/>
      <c r="J26" s="218"/>
      <c r="K26" s="218"/>
      <c r="L26" s="27" t="s">
        <v>214</v>
      </c>
    </row>
    <row r="27" spans="1:12" ht="17.25" customHeight="1" thickBot="1">
      <c r="A27" s="75" t="s">
        <v>215</v>
      </c>
      <c r="B27" s="213" t="s">
        <v>216</v>
      </c>
      <c r="C27" s="214"/>
      <c r="D27" s="214"/>
      <c r="E27" s="214"/>
      <c r="F27" s="214"/>
      <c r="G27" s="214"/>
      <c r="H27" s="214"/>
      <c r="I27" s="214"/>
      <c r="J27" s="214"/>
      <c r="K27" s="214"/>
      <c r="L27" s="215"/>
    </row>
    <row r="28" spans="1:12" ht="17.25">
      <c r="A28" s="125" t="s">
        <v>318</v>
      </c>
      <c r="B28" s="265" t="s">
        <v>319</v>
      </c>
      <c r="C28" s="265"/>
      <c r="D28" s="125" t="s">
        <v>320</v>
      </c>
      <c r="E28" s="125" t="s">
        <v>321</v>
      </c>
    </row>
    <row r="29" spans="1:12" ht="17.25">
      <c r="A29" s="125" t="s">
        <v>322</v>
      </c>
      <c r="B29" s="264" t="s">
        <v>323</v>
      </c>
      <c r="C29" s="264"/>
      <c r="D29" s="125" t="s">
        <v>324</v>
      </c>
      <c r="E29" s="125" t="s">
        <v>325</v>
      </c>
    </row>
    <row r="30" spans="1:12" ht="17.25">
      <c r="A30" s="125" t="s">
        <v>326</v>
      </c>
      <c r="B30" s="264" t="s">
        <v>327</v>
      </c>
      <c r="C30" s="264"/>
      <c r="D30" s="125" t="s">
        <v>328</v>
      </c>
      <c r="E30" s="125" t="s">
        <v>329</v>
      </c>
    </row>
    <row r="31" spans="1:12" ht="17.25">
      <c r="A31" s="125" t="s">
        <v>330</v>
      </c>
      <c r="B31" s="231"/>
      <c r="C31" s="231"/>
      <c r="D31" s="124"/>
      <c r="E31" s="124"/>
    </row>
    <row r="32" spans="1:12">
      <c r="A32" s="232"/>
      <c r="B32" s="233"/>
      <c r="C32" s="233"/>
    </row>
    <row r="33" spans="1:5" ht="51.75">
      <c r="A33" s="232"/>
      <c r="B33" s="126" t="s">
        <v>614</v>
      </c>
      <c r="C33" s="72" t="s">
        <v>331</v>
      </c>
    </row>
    <row r="34" spans="1:5" ht="17.25">
      <c r="A34" s="125" t="s">
        <v>332</v>
      </c>
      <c r="B34" s="264" t="s">
        <v>333</v>
      </c>
      <c r="C34" s="264"/>
      <c r="D34" s="125" t="s">
        <v>334</v>
      </c>
      <c r="E34" s="125" t="s">
        <v>335</v>
      </c>
    </row>
    <row r="35" spans="1:5" ht="17.25">
      <c r="A35" s="125" t="s">
        <v>336</v>
      </c>
      <c r="B35" s="264" t="s">
        <v>337</v>
      </c>
      <c r="C35" s="264"/>
      <c r="D35" s="125" t="s">
        <v>338</v>
      </c>
      <c r="E35" s="125" t="s">
        <v>339</v>
      </c>
    </row>
    <row r="36" spans="1:5" ht="17.25">
      <c r="A36" s="125" t="s">
        <v>340</v>
      </c>
      <c r="B36" s="264" t="s">
        <v>341</v>
      </c>
      <c r="C36" s="264"/>
      <c r="D36" s="125" t="s">
        <v>342</v>
      </c>
      <c r="E36" s="125" t="s">
        <v>343</v>
      </c>
    </row>
    <row r="37" spans="1:5" ht="17.25">
      <c r="A37" s="125" t="s">
        <v>344</v>
      </c>
      <c r="B37" s="264" t="s">
        <v>345</v>
      </c>
      <c r="C37" s="264"/>
      <c r="D37" s="125" t="s">
        <v>346</v>
      </c>
      <c r="E37" s="125" t="s">
        <v>347</v>
      </c>
    </row>
    <row r="38" spans="1:5" ht="17.25">
      <c r="A38" s="125" t="s">
        <v>348</v>
      </c>
      <c r="B38" s="264" t="s">
        <v>349</v>
      </c>
      <c r="C38" s="264"/>
      <c r="D38" s="125" t="s">
        <v>319</v>
      </c>
      <c r="E38" s="125" t="s">
        <v>320</v>
      </c>
    </row>
    <row r="39" spans="1:5" ht="17.25">
      <c r="A39" s="125" t="s">
        <v>321</v>
      </c>
      <c r="B39" s="264" t="s">
        <v>322</v>
      </c>
      <c r="C39" s="264"/>
      <c r="D39" s="125" t="s">
        <v>350</v>
      </c>
      <c r="E39" s="125" t="s">
        <v>330</v>
      </c>
    </row>
    <row r="40" spans="1:5" ht="17.25">
      <c r="A40" s="125" t="s">
        <v>325</v>
      </c>
      <c r="B40" s="264" t="s">
        <v>351</v>
      </c>
      <c r="C40" s="264"/>
      <c r="D40" s="125" t="s">
        <v>352</v>
      </c>
      <c r="E40" s="125" t="s">
        <v>327</v>
      </c>
    </row>
    <row r="41" spans="1:5" ht="17.25">
      <c r="A41" s="125" t="s">
        <v>353</v>
      </c>
      <c r="B41" s="264" t="s">
        <v>354</v>
      </c>
      <c r="C41" s="264"/>
      <c r="D41" s="124"/>
    </row>
    <row r="42" spans="1:5">
      <c r="A42" s="232"/>
      <c r="B42" s="233"/>
      <c r="C42" s="233"/>
    </row>
    <row r="43" spans="1:5" ht="34.5">
      <c r="A43" s="232"/>
      <c r="B43" s="71" t="s">
        <v>355</v>
      </c>
      <c r="C43" s="127" t="s">
        <v>615</v>
      </c>
    </row>
    <row r="44" spans="1:5" ht="17.25">
      <c r="A44" s="125" t="s">
        <v>356</v>
      </c>
      <c r="B44" s="264" t="s">
        <v>357</v>
      </c>
      <c r="C44" s="264"/>
      <c r="D44" s="125" t="s">
        <v>358</v>
      </c>
      <c r="E44" s="125" t="s">
        <v>359</v>
      </c>
    </row>
    <row r="45" spans="1:5" ht="17.25">
      <c r="A45" s="125" t="s">
        <v>360</v>
      </c>
      <c r="B45" s="264" t="s">
        <v>361</v>
      </c>
      <c r="C45" s="264"/>
      <c r="D45" s="125" t="s">
        <v>362</v>
      </c>
      <c r="E45" s="125" t="s">
        <v>363</v>
      </c>
    </row>
    <row r="46" spans="1:5" ht="17.25">
      <c r="A46" s="125" t="s">
        <v>364</v>
      </c>
      <c r="B46" s="264" t="s">
        <v>365</v>
      </c>
      <c r="C46" s="264"/>
      <c r="D46" s="125" t="s">
        <v>366</v>
      </c>
      <c r="E46" s="125" t="s">
        <v>367</v>
      </c>
    </row>
    <row r="47" spans="1:5" ht="17.25">
      <c r="A47" s="125" t="s">
        <v>368</v>
      </c>
      <c r="B47" s="264" t="s">
        <v>369</v>
      </c>
      <c r="C47" s="264"/>
      <c r="D47" s="125" t="s">
        <v>370</v>
      </c>
      <c r="E47" s="125" t="s">
        <v>371</v>
      </c>
    </row>
    <row r="48" spans="1:5" ht="17.25">
      <c r="A48" s="125" t="s">
        <v>372</v>
      </c>
      <c r="B48" s="264" t="s">
        <v>373</v>
      </c>
      <c r="C48" s="264"/>
      <c r="D48" s="125" t="s">
        <v>374</v>
      </c>
      <c r="E48" s="125" t="s">
        <v>375</v>
      </c>
    </row>
    <row r="49" spans="1:5" ht="17.25">
      <c r="A49" s="125" t="s">
        <v>376</v>
      </c>
      <c r="B49" s="264" t="s">
        <v>377</v>
      </c>
      <c r="C49" s="264"/>
      <c r="D49" s="125" t="s">
        <v>378</v>
      </c>
      <c r="E49" s="125" t="s">
        <v>379</v>
      </c>
    </row>
    <row r="50" spans="1:5" ht="17.25">
      <c r="A50" s="125" t="s">
        <v>380</v>
      </c>
      <c r="B50" s="264" t="s">
        <v>381</v>
      </c>
      <c r="C50" s="264"/>
      <c r="D50" s="125" t="s">
        <v>382</v>
      </c>
      <c r="E50" s="125" t="s">
        <v>383</v>
      </c>
    </row>
    <row r="51" spans="1:5" ht="17.25">
      <c r="A51" s="125" t="s">
        <v>384</v>
      </c>
      <c r="B51" s="264" t="s">
        <v>385</v>
      </c>
      <c r="C51" s="264"/>
      <c r="D51" s="125" t="s">
        <v>386</v>
      </c>
      <c r="E51" s="125" t="s">
        <v>387</v>
      </c>
    </row>
    <row r="52" spans="1:5" ht="17.25">
      <c r="A52" s="125" t="s">
        <v>388</v>
      </c>
      <c r="B52" s="264" t="s">
        <v>389</v>
      </c>
      <c r="C52" s="264"/>
      <c r="D52" s="125" t="s">
        <v>390</v>
      </c>
      <c r="E52" s="125" t="s">
        <v>391</v>
      </c>
    </row>
    <row r="53" spans="1:5" ht="17.25">
      <c r="A53" s="125" t="s">
        <v>392</v>
      </c>
      <c r="B53" s="264" t="s">
        <v>393</v>
      </c>
      <c r="C53" s="264"/>
      <c r="D53" s="125" t="s">
        <v>394</v>
      </c>
      <c r="E53" s="125" t="s">
        <v>395</v>
      </c>
    </row>
    <row r="54" spans="1:5">
      <c r="A54" s="232"/>
      <c r="B54" s="233"/>
      <c r="C54" s="233"/>
    </row>
    <row r="55" spans="1:5" ht="34.5">
      <c r="A55" s="232"/>
      <c r="B55" s="71" t="s">
        <v>396</v>
      </c>
      <c r="C55" s="127" t="s">
        <v>615</v>
      </c>
    </row>
    <row r="56" spans="1:5" ht="17.25">
      <c r="A56" s="125" t="s">
        <v>397</v>
      </c>
      <c r="B56" s="264" t="s">
        <v>398</v>
      </c>
      <c r="C56" s="264"/>
      <c r="D56" s="125" t="s">
        <v>399</v>
      </c>
      <c r="E56" s="125" t="s">
        <v>400</v>
      </c>
    </row>
    <row r="57" spans="1:5" ht="17.25">
      <c r="A57" s="125" t="s">
        <v>401</v>
      </c>
      <c r="B57" s="264" t="s">
        <v>402</v>
      </c>
      <c r="C57" s="264"/>
      <c r="D57" s="125" t="s">
        <v>403</v>
      </c>
      <c r="E57" s="125" t="s">
        <v>404</v>
      </c>
    </row>
    <row r="58" spans="1:5" ht="17.25">
      <c r="A58" s="125" t="s">
        <v>405</v>
      </c>
      <c r="B58" s="264" t="s">
        <v>406</v>
      </c>
      <c r="C58" s="264"/>
      <c r="D58" s="125" t="s">
        <v>407</v>
      </c>
      <c r="E58" s="125" t="s">
        <v>408</v>
      </c>
    </row>
    <row r="59" spans="1:5" ht="17.25">
      <c r="A59" s="125" t="s">
        <v>409</v>
      </c>
      <c r="B59" s="264" t="s">
        <v>410</v>
      </c>
      <c r="C59" s="264"/>
      <c r="D59" s="125" t="s">
        <v>411</v>
      </c>
      <c r="E59" s="125" t="s">
        <v>412</v>
      </c>
    </row>
    <row r="60" spans="1:5" ht="17.25">
      <c r="A60" s="125" t="s">
        <v>413</v>
      </c>
      <c r="B60" s="264" t="s">
        <v>414</v>
      </c>
      <c r="C60" s="264"/>
      <c r="D60" s="125" t="s">
        <v>415</v>
      </c>
      <c r="E60" s="125" t="s">
        <v>416</v>
      </c>
    </row>
    <row r="61" spans="1:5" ht="17.25">
      <c r="A61" s="125" t="s">
        <v>417</v>
      </c>
      <c r="B61" s="264" t="s">
        <v>418</v>
      </c>
      <c r="C61" s="264"/>
      <c r="D61" s="125" t="s">
        <v>419</v>
      </c>
      <c r="E61" s="125" t="s">
        <v>420</v>
      </c>
    </row>
    <row r="62" spans="1:5" ht="17.25">
      <c r="A62" s="125" t="s">
        <v>421</v>
      </c>
      <c r="B62" s="264" t="s">
        <v>422</v>
      </c>
      <c r="C62" s="264"/>
      <c r="D62" s="125" t="s">
        <v>423</v>
      </c>
      <c r="E62" s="125" t="s">
        <v>424</v>
      </c>
    </row>
    <row r="63" spans="1:5" ht="17.25">
      <c r="A63" s="125" t="s">
        <v>425</v>
      </c>
      <c r="B63" s="264" t="s">
        <v>426</v>
      </c>
      <c r="C63" s="264"/>
      <c r="D63" s="125" t="s">
        <v>427</v>
      </c>
      <c r="E63" s="125" t="s">
        <v>428</v>
      </c>
    </row>
    <row r="64" spans="1:5" ht="17.25">
      <c r="A64" s="125" t="s">
        <v>429</v>
      </c>
      <c r="B64" s="264" t="s">
        <v>430</v>
      </c>
      <c r="C64" s="264"/>
      <c r="D64" s="125" t="s">
        <v>431</v>
      </c>
      <c r="E64" s="125" t="s">
        <v>432</v>
      </c>
    </row>
    <row r="65" spans="1:5" ht="17.25">
      <c r="A65" s="125" t="s">
        <v>433</v>
      </c>
      <c r="B65" s="264" t="s">
        <v>434</v>
      </c>
      <c r="C65" s="264"/>
      <c r="D65" s="125" t="s">
        <v>435</v>
      </c>
      <c r="E65" s="125" t="s">
        <v>436</v>
      </c>
    </row>
    <row r="66" spans="1:5" ht="17.25">
      <c r="A66" s="125" t="s">
        <v>437</v>
      </c>
      <c r="B66" s="264" t="s">
        <v>438</v>
      </c>
      <c r="C66" s="264"/>
      <c r="D66" s="125" t="s">
        <v>439</v>
      </c>
      <c r="E66" s="125" t="s">
        <v>440</v>
      </c>
    </row>
    <row r="67" spans="1:5" ht="17.25">
      <c r="A67" s="125" t="s">
        <v>441</v>
      </c>
      <c r="B67" s="264" t="s">
        <v>442</v>
      </c>
      <c r="C67" s="264"/>
      <c r="D67" s="125" t="s">
        <v>443</v>
      </c>
      <c r="E67" s="125" t="s">
        <v>444</v>
      </c>
    </row>
    <row r="68" spans="1:5" ht="17.25">
      <c r="A68" s="125" t="s">
        <v>445</v>
      </c>
      <c r="B68" s="264" t="s">
        <v>446</v>
      </c>
      <c r="C68" s="264"/>
      <c r="D68" s="125" t="s">
        <v>447</v>
      </c>
      <c r="E68" s="125" t="s">
        <v>448</v>
      </c>
    </row>
    <row r="69" spans="1:5" ht="17.25">
      <c r="A69" s="125" t="s">
        <v>449</v>
      </c>
      <c r="B69" s="264" t="s">
        <v>450</v>
      </c>
      <c r="C69" s="264"/>
      <c r="D69" s="125" t="s">
        <v>451</v>
      </c>
      <c r="E69" s="125" t="s">
        <v>452</v>
      </c>
    </row>
    <row r="70" spans="1:5" ht="17.25">
      <c r="A70" s="125" t="s">
        <v>453</v>
      </c>
      <c r="B70" s="264" t="s">
        <v>454</v>
      </c>
      <c r="C70" s="264"/>
      <c r="D70" s="125" t="s">
        <v>455</v>
      </c>
      <c r="E70" s="125" t="s">
        <v>456</v>
      </c>
    </row>
    <row r="71" spans="1:5" ht="17.25">
      <c r="A71" s="125" t="s">
        <v>457</v>
      </c>
      <c r="B71" s="264" t="s">
        <v>458</v>
      </c>
      <c r="C71" s="264"/>
      <c r="D71" s="125" t="s">
        <v>459</v>
      </c>
      <c r="E71" s="125" t="s">
        <v>460</v>
      </c>
    </row>
    <row r="72" spans="1:5" ht="17.25">
      <c r="A72" s="125" t="s">
        <v>461</v>
      </c>
      <c r="B72" s="264" t="s">
        <v>462</v>
      </c>
      <c r="C72" s="264"/>
      <c r="D72" s="125" t="s">
        <v>463</v>
      </c>
      <c r="E72" s="125" t="s">
        <v>464</v>
      </c>
    </row>
    <row r="73" spans="1:5" ht="17.25">
      <c r="A73" s="125" t="s">
        <v>465</v>
      </c>
      <c r="B73" s="264" t="s">
        <v>466</v>
      </c>
      <c r="C73" s="264"/>
      <c r="D73" s="125" t="s">
        <v>467</v>
      </c>
      <c r="E73" s="125" t="s">
        <v>468</v>
      </c>
    </row>
    <row r="74" spans="1:5" ht="17.25">
      <c r="A74" s="125" t="s">
        <v>469</v>
      </c>
      <c r="B74" s="264" t="s">
        <v>470</v>
      </c>
      <c r="C74" s="264"/>
      <c r="D74" s="125" t="s">
        <v>471</v>
      </c>
      <c r="E74" s="125" t="s">
        <v>472</v>
      </c>
    </row>
    <row r="75" spans="1:5" ht="17.25">
      <c r="A75" s="125" t="s">
        <v>473</v>
      </c>
      <c r="B75" s="264" t="s">
        <v>474</v>
      </c>
      <c r="C75" s="264"/>
      <c r="D75" s="125" t="s">
        <v>475</v>
      </c>
      <c r="E75" s="125" t="s">
        <v>476</v>
      </c>
    </row>
    <row r="76" spans="1:5" ht="17.25">
      <c r="A76" s="125" t="s">
        <v>477</v>
      </c>
      <c r="B76" s="264" t="s">
        <v>478</v>
      </c>
      <c r="C76" s="264"/>
      <c r="D76" s="125" t="s">
        <v>479</v>
      </c>
      <c r="E76" s="125" t="s">
        <v>480</v>
      </c>
    </row>
    <row r="77" spans="1:5" ht="17.25">
      <c r="A77" s="125" t="s">
        <v>481</v>
      </c>
      <c r="B77" s="264" t="s">
        <v>482</v>
      </c>
      <c r="C77" s="264"/>
      <c r="D77" s="125" t="s">
        <v>483</v>
      </c>
      <c r="E77" s="125" t="s">
        <v>484</v>
      </c>
    </row>
    <row r="78" spans="1:5" ht="17.25">
      <c r="A78" s="125" t="s">
        <v>485</v>
      </c>
      <c r="B78" s="264" t="s">
        <v>486</v>
      </c>
      <c r="C78" s="264"/>
      <c r="D78" s="125" t="s">
        <v>487</v>
      </c>
      <c r="E78" s="125" t="s">
        <v>488</v>
      </c>
    </row>
    <row r="79" spans="1:5" ht="17.25">
      <c r="A79" s="125" t="s">
        <v>489</v>
      </c>
      <c r="B79" s="264" t="s">
        <v>490</v>
      </c>
      <c r="C79" s="264"/>
      <c r="D79" s="125" t="s">
        <v>491</v>
      </c>
      <c r="E79" s="125" t="s">
        <v>492</v>
      </c>
    </row>
    <row r="80" spans="1:5" ht="17.25">
      <c r="A80" s="125" t="s">
        <v>493</v>
      </c>
      <c r="B80" s="264" t="s">
        <v>494</v>
      </c>
      <c r="C80" s="264"/>
      <c r="D80" s="125" t="s">
        <v>495</v>
      </c>
      <c r="E80" s="125" t="s">
        <v>496</v>
      </c>
    </row>
    <row r="81" spans="1:5" ht="17.25">
      <c r="A81" s="125" t="s">
        <v>497</v>
      </c>
      <c r="B81" s="264" t="s">
        <v>498</v>
      </c>
      <c r="C81" s="264"/>
      <c r="D81" s="125" t="s">
        <v>499</v>
      </c>
      <c r="E81" s="125" t="s">
        <v>500</v>
      </c>
    </row>
    <row r="82" spans="1:5" ht="17.25">
      <c r="A82" s="125" t="s">
        <v>501</v>
      </c>
      <c r="B82" s="264" t="s">
        <v>502</v>
      </c>
      <c r="C82" s="264"/>
      <c r="D82" s="125" t="s">
        <v>503</v>
      </c>
      <c r="E82" s="125" t="s">
        <v>504</v>
      </c>
    </row>
    <row r="83" spans="1:5" ht="17.25">
      <c r="A83" s="125" t="s">
        <v>505</v>
      </c>
      <c r="B83" s="264" t="s">
        <v>506</v>
      </c>
      <c r="C83" s="264"/>
      <c r="D83" s="125" t="s">
        <v>507</v>
      </c>
      <c r="E83" s="125" t="s">
        <v>508</v>
      </c>
    </row>
    <row r="84" spans="1:5" ht="17.25">
      <c r="A84" s="125" t="s">
        <v>509</v>
      </c>
      <c r="B84" s="264" t="s">
        <v>510</v>
      </c>
      <c r="C84" s="264"/>
      <c r="D84" s="125" t="s">
        <v>511</v>
      </c>
      <c r="E84" s="125" t="s">
        <v>512</v>
      </c>
    </row>
    <row r="85" spans="1:5" ht="17.25">
      <c r="A85" s="125" t="s">
        <v>513</v>
      </c>
      <c r="B85" s="264" t="s">
        <v>514</v>
      </c>
      <c r="C85" s="264"/>
      <c r="D85" s="125" t="s">
        <v>515</v>
      </c>
      <c r="E85" s="125" t="s">
        <v>516</v>
      </c>
    </row>
    <row r="86" spans="1:5" ht="17.25">
      <c r="A86" s="125" t="s">
        <v>517</v>
      </c>
      <c r="B86" s="264" t="s">
        <v>518</v>
      </c>
      <c r="C86" s="264"/>
      <c r="D86" s="125" t="s">
        <v>519</v>
      </c>
      <c r="E86" s="125" t="s">
        <v>520</v>
      </c>
    </row>
    <row r="87" spans="1:5" ht="17.25">
      <c r="A87" s="125" t="s">
        <v>521</v>
      </c>
      <c r="B87" s="264" t="s">
        <v>522</v>
      </c>
      <c r="C87" s="264"/>
      <c r="D87" s="125" t="s">
        <v>523</v>
      </c>
      <c r="E87" s="125" t="s">
        <v>524</v>
      </c>
    </row>
    <row r="88" spans="1:5" ht="17.25">
      <c r="A88" s="125" t="s">
        <v>525</v>
      </c>
      <c r="B88" s="264" t="s">
        <v>526</v>
      </c>
      <c r="C88" s="264"/>
      <c r="D88" s="125" t="s">
        <v>527</v>
      </c>
      <c r="E88" s="124"/>
    </row>
    <row r="89" spans="1:5">
      <c r="A89" s="232"/>
      <c r="B89" s="233"/>
      <c r="C89" s="233"/>
    </row>
    <row r="90" spans="1:5" ht="34.5">
      <c r="A90" s="232"/>
      <c r="B90" s="71" t="s">
        <v>528</v>
      </c>
      <c r="C90" s="127" t="s">
        <v>615</v>
      </c>
    </row>
    <row r="91" spans="1:5" ht="17.25">
      <c r="A91" s="125" t="s">
        <v>529</v>
      </c>
      <c r="B91" s="264" t="s">
        <v>530</v>
      </c>
      <c r="C91" s="264"/>
      <c r="D91" s="125" t="s">
        <v>531</v>
      </c>
      <c r="E91" s="125" t="s">
        <v>532</v>
      </c>
    </row>
    <row r="92" spans="1:5" ht="17.25">
      <c r="A92" s="125" t="s">
        <v>533</v>
      </c>
      <c r="B92" s="264" t="s">
        <v>534</v>
      </c>
      <c r="C92" s="264"/>
      <c r="D92" s="125" t="s">
        <v>535</v>
      </c>
      <c r="E92" s="125" t="s">
        <v>536</v>
      </c>
    </row>
    <row r="93" spans="1:5" ht="17.25">
      <c r="A93" s="125" t="s">
        <v>537</v>
      </c>
      <c r="B93" s="264" t="s">
        <v>538</v>
      </c>
      <c r="C93" s="264"/>
      <c r="D93" s="125" t="s">
        <v>539</v>
      </c>
      <c r="E93" s="125" t="s">
        <v>540</v>
      </c>
    </row>
    <row r="94" spans="1:5" ht="17.25">
      <c r="A94" s="125" t="s">
        <v>541</v>
      </c>
      <c r="B94" s="264" t="s">
        <v>542</v>
      </c>
      <c r="C94" s="264"/>
      <c r="D94" s="125" t="s">
        <v>543</v>
      </c>
      <c r="E94" s="125" t="s">
        <v>544</v>
      </c>
    </row>
    <row r="95" spans="1:5" ht="17.25">
      <c r="A95" s="125" t="s">
        <v>545</v>
      </c>
      <c r="B95" s="264" t="s">
        <v>546</v>
      </c>
      <c r="C95" s="264"/>
      <c r="D95" s="125" t="s">
        <v>547</v>
      </c>
      <c r="E95" s="125" t="s">
        <v>548</v>
      </c>
    </row>
    <row r="96" spans="1:5" ht="17.25">
      <c r="A96" s="125" t="s">
        <v>549</v>
      </c>
      <c r="B96" s="264" t="s">
        <v>550</v>
      </c>
      <c r="C96" s="264"/>
      <c r="D96" s="125" t="s">
        <v>551</v>
      </c>
      <c r="E96" s="125" t="s">
        <v>552</v>
      </c>
    </row>
    <row r="97" spans="1:5" ht="17.25">
      <c r="A97" s="125" t="s">
        <v>553</v>
      </c>
      <c r="B97" s="264" t="s">
        <v>554</v>
      </c>
      <c r="C97" s="264"/>
      <c r="D97" s="125" t="s">
        <v>555</v>
      </c>
      <c r="E97" s="125" t="s">
        <v>556</v>
      </c>
    </row>
    <row r="98" spans="1:5" ht="17.25">
      <c r="A98" s="125" t="s">
        <v>557</v>
      </c>
      <c r="B98" s="264" t="s">
        <v>558</v>
      </c>
      <c r="C98" s="264"/>
      <c r="D98" s="125" t="s">
        <v>559</v>
      </c>
      <c r="E98" s="125" t="s">
        <v>560</v>
      </c>
    </row>
    <row r="99" spans="1:5" ht="17.25">
      <c r="A99" s="125" t="s">
        <v>561</v>
      </c>
      <c r="B99" s="264" t="s">
        <v>562</v>
      </c>
      <c r="C99" s="264"/>
      <c r="D99" s="125" t="s">
        <v>563</v>
      </c>
      <c r="E99" s="125" t="s">
        <v>564</v>
      </c>
    </row>
    <row r="100" spans="1:5" ht="17.25">
      <c r="A100" s="125" t="s">
        <v>565</v>
      </c>
      <c r="B100" s="264" t="s">
        <v>566</v>
      </c>
      <c r="C100" s="264"/>
      <c r="D100" s="125" t="s">
        <v>567</v>
      </c>
      <c r="E100" s="125" t="s">
        <v>568</v>
      </c>
    </row>
    <row r="101" spans="1:5" ht="17.25">
      <c r="A101" s="125" t="s">
        <v>569</v>
      </c>
      <c r="B101" s="264" t="s">
        <v>570</v>
      </c>
      <c r="C101" s="264"/>
      <c r="D101" s="125" t="s">
        <v>571</v>
      </c>
      <c r="E101" s="125" t="s">
        <v>572</v>
      </c>
    </row>
    <row r="102" spans="1:5" ht="17.25">
      <c r="A102" s="125" t="s">
        <v>573</v>
      </c>
      <c r="B102" s="264" t="s">
        <v>574</v>
      </c>
      <c r="C102" s="264"/>
      <c r="D102" s="125" t="s">
        <v>575</v>
      </c>
      <c r="E102" s="125" t="s">
        <v>576</v>
      </c>
    </row>
    <row r="103" spans="1:5" ht="17.25">
      <c r="A103" s="125" t="s">
        <v>577</v>
      </c>
      <c r="B103" s="264" t="s">
        <v>578</v>
      </c>
      <c r="C103" s="264"/>
      <c r="D103" s="125" t="s">
        <v>579</v>
      </c>
      <c r="E103" s="125" t="s">
        <v>580</v>
      </c>
    </row>
    <row r="104" spans="1:5" ht="17.25">
      <c r="A104" s="125" t="s">
        <v>581</v>
      </c>
      <c r="B104" s="264" t="s">
        <v>582</v>
      </c>
      <c r="C104" s="264"/>
      <c r="D104" s="125" t="s">
        <v>583</v>
      </c>
      <c r="E104" s="125" t="s">
        <v>584</v>
      </c>
    </row>
    <row r="105" spans="1:5" ht="17.25">
      <c r="A105" s="125" t="s">
        <v>585</v>
      </c>
      <c r="B105" s="264" t="s">
        <v>586</v>
      </c>
      <c r="C105" s="264"/>
      <c r="D105" s="125" t="s">
        <v>587</v>
      </c>
      <c r="E105" s="125" t="s">
        <v>588</v>
      </c>
    </row>
    <row r="106" spans="1:5" ht="17.25">
      <c r="A106" s="125" t="s">
        <v>589</v>
      </c>
      <c r="B106" s="264" t="s">
        <v>590</v>
      </c>
      <c r="C106" s="264"/>
      <c r="D106" s="125" t="s">
        <v>591</v>
      </c>
      <c r="E106" s="125" t="s">
        <v>592</v>
      </c>
    </row>
    <row r="107" spans="1:5" ht="17.25">
      <c r="A107" s="125" t="s">
        <v>593</v>
      </c>
      <c r="B107" s="264" t="s">
        <v>594</v>
      </c>
      <c r="C107" s="264"/>
      <c r="D107" s="125" t="s">
        <v>595</v>
      </c>
      <c r="E107" s="125" t="s">
        <v>596</v>
      </c>
    </row>
    <row r="108" spans="1:5" ht="17.25">
      <c r="A108" s="125" t="s">
        <v>597</v>
      </c>
      <c r="B108" s="264" t="s">
        <v>598</v>
      </c>
      <c r="C108" s="264"/>
      <c r="D108" s="125" t="s">
        <v>599</v>
      </c>
      <c r="E108" s="125" t="s">
        <v>600</v>
      </c>
    </row>
    <row r="109" spans="1:5" ht="17.25">
      <c r="A109" s="125" t="s">
        <v>601</v>
      </c>
      <c r="B109" s="264" t="s">
        <v>602</v>
      </c>
      <c r="C109" s="264"/>
      <c r="D109" s="125" t="s">
        <v>603</v>
      </c>
      <c r="E109" s="125" t="s">
        <v>604</v>
      </c>
    </row>
    <row r="110" spans="1:5" ht="17.25">
      <c r="A110" s="125" t="s">
        <v>605</v>
      </c>
      <c r="B110" s="231"/>
      <c r="C110" s="231"/>
      <c r="D110" s="124"/>
      <c r="E110" s="124"/>
    </row>
  </sheetData>
  <mergeCells count="149">
    <mergeCell ref="G3:G6"/>
    <mergeCell ref="H3:H6"/>
    <mergeCell ref="I3:I6"/>
    <mergeCell ref="J3:J6"/>
    <mergeCell ref="K3:K6"/>
    <mergeCell ref="B7:L7"/>
    <mergeCell ref="H1:H2"/>
    <mergeCell ref="I1:I2"/>
    <mergeCell ref="J1:J2"/>
    <mergeCell ref="K1:K2"/>
    <mergeCell ref="L1:L2"/>
    <mergeCell ref="B3:B6"/>
    <mergeCell ref="C3:C6"/>
    <mergeCell ref="D3:D6"/>
    <mergeCell ref="E3:E6"/>
    <mergeCell ref="F3:F6"/>
    <mergeCell ref="B1:B2"/>
    <mergeCell ref="C1:C2"/>
    <mergeCell ref="D1:D2"/>
    <mergeCell ref="E1:E2"/>
    <mergeCell ref="F1:F2"/>
    <mergeCell ref="G1:G2"/>
    <mergeCell ref="G13:G16"/>
    <mergeCell ref="H13:H16"/>
    <mergeCell ref="I13:I16"/>
    <mergeCell ref="J13:J16"/>
    <mergeCell ref="K13:K16"/>
    <mergeCell ref="B17:L17"/>
    <mergeCell ref="H11:H12"/>
    <mergeCell ref="I11:I12"/>
    <mergeCell ref="J11:J12"/>
    <mergeCell ref="K11:K12"/>
    <mergeCell ref="L11:L12"/>
    <mergeCell ref="B13:B16"/>
    <mergeCell ref="C13:C16"/>
    <mergeCell ref="D13:D16"/>
    <mergeCell ref="E13:E16"/>
    <mergeCell ref="F13:F16"/>
    <mergeCell ref="B11:B12"/>
    <mergeCell ref="C11:C12"/>
    <mergeCell ref="D11:D12"/>
    <mergeCell ref="E11:E12"/>
    <mergeCell ref="F11:F12"/>
    <mergeCell ref="G11:G12"/>
    <mergeCell ref="A32:A33"/>
    <mergeCell ref="B32:C32"/>
    <mergeCell ref="G23:G26"/>
    <mergeCell ref="H23:H26"/>
    <mergeCell ref="I23:I26"/>
    <mergeCell ref="J23:J26"/>
    <mergeCell ref="K23:K26"/>
    <mergeCell ref="B27:L27"/>
    <mergeCell ref="H21:H22"/>
    <mergeCell ref="I21:I22"/>
    <mergeCell ref="J21:J22"/>
    <mergeCell ref="K21:K22"/>
    <mergeCell ref="L21:L22"/>
    <mergeCell ref="B23:B26"/>
    <mergeCell ref="C23:C26"/>
    <mergeCell ref="D23:D26"/>
    <mergeCell ref="E23:E26"/>
    <mergeCell ref="F23:F26"/>
    <mergeCell ref="B21:B22"/>
    <mergeCell ref="C21:C22"/>
    <mergeCell ref="D21:D22"/>
    <mergeCell ref="E21:E22"/>
    <mergeCell ref="F21:F22"/>
    <mergeCell ref="G21:G22"/>
    <mergeCell ref="B34:C34"/>
    <mergeCell ref="B35:C35"/>
    <mergeCell ref="B36:C36"/>
    <mergeCell ref="B37:C37"/>
    <mergeCell ref="B38:C38"/>
    <mergeCell ref="B39:C39"/>
    <mergeCell ref="B28:C28"/>
    <mergeCell ref="B29:C29"/>
    <mergeCell ref="B30:C30"/>
    <mergeCell ref="B31:C31"/>
    <mergeCell ref="B46:C46"/>
    <mergeCell ref="B47:C47"/>
    <mergeCell ref="B48:C48"/>
    <mergeCell ref="B49:C49"/>
    <mergeCell ref="B50:C50"/>
    <mergeCell ref="B51:C51"/>
    <mergeCell ref="B40:C40"/>
    <mergeCell ref="B41:C41"/>
    <mergeCell ref="A42:A43"/>
    <mergeCell ref="B42:C42"/>
    <mergeCell ref="B44:C44"/>
    <mergeCell ref="B45:C45"/>
    <mergeCell ref="B58:C58"/>
    <mergeCell ref="B59:C59"/>
    <mergeCell ref="B60:C60"/>
    <mergeCell ref="B61:C61"/>
    <mergeCell ref="B62:C62"/>
    <mergeCell ref="B63:C63"/>
    <mergeCell ref="B52:C52"/>
    <mergeCell ref="B53:C53"/>
    <mergeCell ref="A54:A55"/>
    <mergeCell ref="B54:C54"/>
    <mergeCell ref="B56:C56"/>
    <mergeCell ref="B57:C57"/>
    <mergeCell ref="B70:C70"/>
    <mergeCell ref="B71:C71"/>
    <mergeCell ref="B72:C72"/>
    <mergeCell ref="B73:C73"/>
    <mergeCell ref="B74:C74"/>
    <mergeCell ref="B75:C75"/>
    <mergeCell ref="B64:C64"/>
    <mergeCell ref="B65:C65"/>
    <mergeCell ref="B66:C66"/>
    <mergeCell ref="B67:C67"/>
    <mergeCell ref="B68:C68"/>
    <mergeCell ref="B69:C69"/>
    <mergeCell ref="B82:C82"/>
    <mergeCell ref="B83:C83"/>
    <mergeCell ref="B84:C84"/>
    <mergeCell ref="B85:C85"/>
    <mergeCell ref="B86:C86"/>
    <mergeCell ref="B87:C87"/>
    <mergeCell ref="B76:C76"/>
    <mergeCell ref="B77:C77"/>
    <mergeCell ref="B78:C78"/>
    <mergeCell ref="B79:C79"/>
    <mergeCell ref="B80:C80"/>
    <mergeCell ref="B81:C81"/>
    <mergeCell ref="B94:C94"/>
    <mergeCell ref="B95:C95"/>
    <mergeCell ref="B96:C96"/>
    <mergeCell ref="B97:C97"/>
    <mergeCell ref="B98:C98"/>
    <mergeCell ref="B99:C99"/>
    <mergeCell ref="B88:C88"/>
    <mergeCell ref="A89:A90"/>
    <mergeCell ref="B89:C89"/>
    <mergeCell ref="B91:C91"/>
    <mergeCell ref="B92:C92"/>
    <mergeCell ref="B93:C93"/>
    <mergeCell ref="B106:C106"/>
    <mergeCell ref="B107:C107"/>
    <mergeCell ref="B108:C108"/>
    <mergeCell ref="B109:C109"/>
    <mergeCell ref="B110:C110"/>
    <mergeCell ref="B100:C100"/>
    <mergeCell ref="B101:C101"/>
    <mergeCell ref="B102:C102"/>
    <mergeCell ref="B103:C103"/>
    <mergeCell ref="B104:C104"/>
    <mergeCell ref="B105:C105"/>
  </mergeCells>
  <phoneticPr fontId="2" type="noConversion"/>
  <hyperlinks>
    <hyperlink ref="A28" r:id="rId1" display="https://tw.stock.yahoo.com/s/list.php?c=%A8%E4%A5%A6%B9q%A4l&amp;rr=0.76223400%201435595668"/>
    <hyperlink ref="B28" r:id="rId2" display="https://tw.stock.yahoo.com/s/list.php?c=%C0%E7%AB%D8&amp;rr=0.76223600%201435595668"/>
    <hyperlink ref="D28" r:id="rId3" display="https://tw.stock.yahoo.com/s/list.php?c=%AF%E8%B9B&amp;rr=0.76223800%201435595668"/>
    <hyperlink ref="E28" r:id="rId4" display="https://tw.stock.yahoo.com/s/list.php?c=%C6%5B%A5%FA&amp;rr=0.76223900%201435595668"/>
    <hyperlink ref="A29" r:id="rId5" display="https://tw.stock.yahoo.com/s/list.php?c=%AA%F7%BF%C4&amp;rr=0.76224100%201435595668"/>
    <hyperlink ref="B29" r:id="rId6" display="https://tw.stock.yahoo.com/s/list.php?c=%B6T%A9%F6%A6%CA%B3f&amp;rr=0.76224200%201435595668"/>
    <hyperlink ref="D29" r:id="rId7" display="https://tw.stock.yahoo.com/s/list.php?c=%AAo%B9q%BFU%AE%F0&amp;rr=0.76224500%201435595668"/>
    <hyperlink ref="E29" r:id="rId8" display="https://tw.stock.yahoo.com/s/list.php?c=%A8%E4%A5L&amp;rr=0.76224600%201435595668"/>
    <hyperlink ref="A30" r:id="rId9" display="https://tw.stock.yahoo.com/s/list.php?c=%BA%EE%A6X&amp;rr=0.76224700%201435595668"/>
    <hyperlink ref="B30" r:id="rId10" display="https://tw.stock.yahoo.com/s/list.php?c=%BE%CC%C3%D2&amp;rr=0.76224900%201435595668"/>
    <hyperlink ref="D30" r:id="rId11" display="https://tw.stock.yahoo.com/s/list.php?c=%A5%AB%BB%7B%C1%CA&amp;rr=0.76225000%201435595668"/>
    <hyperlink ref="E30" r:id="rId12" display="https://tw.stock.yahoo.com/s/list.php?c=%A5%AB%BB%7B%B0%E2&amp;rr=0.76225300%201435595668"/>
    <hyperlink ref="A31" r:id="rId13" display="https://tw.stock.yahoo.com/s/list.php?c=%AB%FC%BC%C6%C3%FE&amp;rr=0.76225400%201435595668"/>
    <hyperlink ref="B33" r:id="rId14" display="https://tw.stock.yahoo.com/s/list.php?c=otc&amp;rr=0.76225500%201435595668"/>
    <hyperlink ref="A34" r:id="rId15" display="https://tw.stock.yahoo.com/s/list.php?c=%C2d%AD%B9%AB%7E&amp;rr=0.76225700%201435595668"/>
    <hyperlink ref="B34" r:id="rId16" display="https://tw.stock.yahoo.com/s/list.php?c=%C2d%B6%EC%BD%A6&amp;rr=0.76225900%201435595668"/>
    <hyperlink ref="D34" r:id="rId17" display="https://tw.stock.yahoo.com/s/list.php?c=%C2d%AF%BC%C2%B4&amp;rr=0.76226100%201435595668"/>
    <hyperlink ref="E34" r:id="rId18" display="https://tw.stock.yahoo.com/s/list.php?c=%C2d%B9q%BE%F7&amp;rr=0.76226200%201435595668"/>
    <hyperlink ref="A35" r:id="rId19" display="https://tw.stock.yahoo.com/s/list.php?c=%C2d%B9q%BE%B9&amp;rr=0.76226500%201435595668"/>
    <hyperlink ref="B35" r:id="rId20" display="https://tw.stock.yahoo.com/s/list.php?c=%C2d%A4%C6%A4u&amp;rr=0.76226600%201435595668"/>
    <hyperlink ref="D35" r:id="rId21" display="https://tw.stock.yahoo.com/s/list.php?c=%C2d%A5%CD%A7%DE&amp;rr=0.76226900%201435595668"/>
    <hyperlink ref="E35" r:id="rId22" display="https://tw.stock.yahoo.com/s/list.php?c=%C2d%AAo%B9q&amp;rr=0.76227200%201435595668"/>
    <hyperlink ref="A36" r:id="rId23" display="https://tw.stock.yahoo.com/s/list.php?c=%C2d%BF%FB%C5K&amp;rr=0.76227300%201435595668"/>
    <hyperlink ref="B36" r:id="rId24" display="https://tw.stock.yahoo.com/s/list.php?c=%C2d%BE%F3%BD%A6&amp;rr=0.76227400%201435595668"/>
    <hyperlink ref="D36" r:id="rId25" display="https://tw.stock.yahoo.com/s/list.php?c=%C2d%A5b%BE%C9&amp;rr=0.76227600%201435595668"/>
    <hyperlink ref="E36" r:id="rId26" display="https://tw.stock.yahoo.com/s/list.php?c=%C2d%B9q%B8%A3&amp;rr=0.76227800%201435595668"/>
    <hyperlink ref="A37" r:id="rId27" display="https://tw.stock.yahoo.com/s/list.php?c=%C2d%A5%FA%B9q&amp;rr=0.76227900%201435595668"/>
    <hyperlink ref="B37" r:id="rId28" display="https://tw.stock.yahoo.com/s/list.php?c=%C2d%B3q%ABH&amp;rr=0.76228000%201435595668"/>
    <hyperlink ref="D37" r:id="rId29" display="https://tw.stock.yahoo.com/s/list.php?c=%C2d%B9q%B9s&amp;rr=0.76228200%201435595668"/>
    <hyperlink ref="E37" r:id="rId30" display="https://tw.stock.yahoo.com/s/list.php?c=%C2d%B3q%B8%F4&amp;rr=0.76228400%201435595668"/>
    <hyperlink ref="A38" r:id="rId31" display="https://tw.stock.yahoo.com/s/list.php?c=%C2d%B8%EA%AAA&amp;rr=0.76228500%201435595668"/>
    <hyperlink ref="B38" r:id="rId32" display="https://tw.stock.yahoo.com/s/list.php?c=%C2d%A5L%B9q&amp;rr=0.76228600%201435595668"/>
    <hyperlink ref="D38" r:id="rId33" display="https://tw.stock.yahoo.com/s/list.php?c=%C2d%C0%E7%AB%D8&amp;rr=0.76228700%201435595668"/>
    <hyperlink ref="E38" r:id="rId34" display="https://tw.stock.yahoo.com/s/list.php?c=%C2d%AF%E8%B9B&amp;rr=0.76228900%201435595668"/>
    <hyperlink ref="A39" r:id="rId35" display="https://tw.stock.yahoo.com/s/list.php?c=%C2d%C6%5B%A5%FA&amp;rr=0.76229100%201435595668"/>
    <hyperlink ref="B39" r:id="rId36" display="https://tw.stock.yahoo.com/s/list.php?c=%C2d%AA%F7%BF%C4&amp;rr=0.76229200%201435595668"/>
    <hyperlink ref="D39" r:id="rId37" display="https://tw.stock.yahoo.com/s/list.php?c=%C2d%B6T%A9%F6&amp;rr=0.76229300%201435595668"/>
    <hyperlink ref="E39" r:id="rId38" display="https://tw.stock.yahoo.com/s/list.php?c=%C2d%AB%FC%BC%C6%C3%FE&amp;rr=0.76229500%201435595668"/>
    <hyperlink ref="A40" r:id="rId39" display="https://tw.stock.yahoo.com/s/list.php?c=%C2d%A8%E4%A5L&amp;rr=0.76229700%201435595668"/>
    <hyperlink ref="B40" r:id="rId40" display="https://tw.stock.yahoo.com/s/list.php?c=%C2d%BA%DE%B2z&amp;rr=0.76229800%201435595668"/>
    <hyperlink ref="D40" r:id="rId41" display="https://tw.stock.yahoo.com/s/list.php?c=%C2d%A4%BD%A5q&amp;rr=0.76229900%201435595668"/>
    <hyperlink ref="E40" r:id="rId42" display="https://tw.stock.yahoo.com/s/list.php?c=%C2d%BE%CC%C3%D2&amp;rr=0.76230100%201435595668"/>
    <hyperlink ref="A41" r:id="rId43" display="https://tw.stock.yahoo.com/s/list.php?c=%C2d%BB%7B%C1%CA&amp;rr=0.76230200%201435595668"/>
    <hyperlink ref="B41" r:id="rId44" display="https://tw.stock.yahoo.com/s/list.php?c=%C2d%BB%7B%B0%E2&amp;rr=0.76230400%201435595668"/>
    <hyperlink ref="C43" location="ystkglonav" display="ystkglonav"/>
    <hyperlink ref="A44" r:id="rId45" display="https://tw.stock.yahoo.com/s/list.php?c=DRAM&amp;rr=0.76230600%201435595668"/>
    <hyperlink ref="B44" r:id="rId46" display="https://tw.stock.yahoo.com/s/list.php?c=DRAM%BC%D2%B2%D5&amp;rr=0.76230800%201435595668"/>
    <hyperlink ref="D44" r:id="rId47" display="https://tw.stock.yahoo.com/s/list.php?c=IC%B3%5D%ADp&amp;rr=0.76230900%201435595668"/>
    <hyperlink ref="E44" r:id="rId48" display="https://tw.stock.yahoo.com/s/list.php?c=IC%A5%CD%B2%A3&amp;rr=0.76231000%201435595668"/>
    <hyperlink ref="A45" r:id="rId49" display="https://tw.stock.yahoo.com/s/list.php?c=IC%AB%CA%B8%CB%B4%FA%B8%D5&amp;rr=0.76231200%201435595668"/>
    <hyperlink ref="B45" r:id="rId50" display="https://tw.stock.yahoo.com/s/list.php?c=TFT-LCD&amp;rr=0.76231400%201435595668"/>
    <hyperlink ref="D45" r:id="rId51" display="https://tw.stock.yahoo.com/s/list.php?c=Flash%BC%D2%B2%D5&amp;rr=0.76234200%201435595668"/>
    <hyperlink ref="E45" r:id="rId52" display="https://tw.stock.yahoo.com/s/list.php?c=%A5D%BE%F7%AAO&amp;rr=0.76234500%201435595668"/>
    <hyperlink ref="A46" r:id="rId53" display="https://tw.stock.yahoo.com/s/list.php?c=%A5%FA%BA%D0%A4%F9&amp;rr=0.76234600%201435595668"/>
    <hyperlink ref="B46" r:id="rId54" display="https://tw.stock.yahoo.com/s/list.php?c=%A5%FA%BA%D0%BE%F7&amp;rr=0.76234900%201435595668"/>
    <hyperlink ref="D46" r:id="rId55" display="https://tw.stock.yahoo.com/s/list.php?c=%A5%FA%C5%D6%B2%A3%AB%7E&amp;rr=0.76235000%201435595668"/>
    <hyperlink ref="E46" r:id="rId56" display="https://tw.stock.yahoo.com/s/list.php?c=%A6%F8%AAA%BE%B9&amp;rr=0.76235200%201435595668"/>
    <hyperlink ref="A47" r:id="rId57" display="https://tw.stock.yahoo.com/s/list.php?c=%B3n%C5%E9%B7%7E&amp;rr=0.76235300%201435595668"/>
    <hyperlink ref="B47" r:id="rId58" display="https://tw.stock.yahoo.com/s/list.php?c=%B1%BD%BA%CB%BE%B9&amp;rr=0.76235400%201435595668"/>
    <hyperlink ref="D47" r:id="rId59" display="https://tw.stock.yahoo.com/s/list.php?c=%BE%C9%BDu%AC%5B&amp;rr=0.76235700%201435595668"/>
    <hyperlink ref="E47" r:id="rId60" display="https://tw.stock.yahoo.com/s/list.php?c=%A8%C6%B0%C8%BE%F7%BE%B9&amp;rr=0.76235800%201435595668"/>
    <hyperlink ref="A48" r:id="rId61" display="https://tw.stock.yahoo.com/s/list.php?c=%A6L%AA%ED%BE%F7&amp;rr=0.76236000%201435595668"/>
    <hyperlink ref="B48" r:id="rId62" display="https://tw.stock.yahoo.com/s/list.php?c=%B3s%B1%B5%BE%B9&amp;rr=0.76236100%201435595668"/>
    <hyperlink ref="D48" r:id="rId63" display="https://tw.stock.yahoo.com/s/list.php?c=%BE%F7%B4%DF&amp;rr=0.76236200%201435595668"/>
    <hyperlink ref="E48" r:id="rId64" display="https://tw.stock.yahoo.com/s/list.php?c=%AE%F8%B6O%A9%CA%B9q%A4l%B2%A3%AB%7E&amp;rr=0.76236400%201435595668"/>
    <hyperlink ref="A49" r:id="rId65" display="https://tw.stock.yahoo.com/s/list.php?c=%BC%D2%A8%E3%A8R%C0%A3&amp;rr=0.76236600%201435595668"/>
    <hyperlink ref="B49" r:id="rId66" display="https://tw.stock.yahoo.com/s/list.php?c=%B9q%ABH%B3%5D%B3%C6&amp;rr=0.76236700%201435595668"/>
    <hyperlink ref="D49" r:id="rId67" display="https://tw.stock.yahoo.com/s/list.php?c=%AE%E0%A4W%AB%AC%B9q%B8%A3&amp;rr=0.76236900%201435595668"/>
    <hyperlink ref="E49" r:id="rId68" display="https://tw.stock.yahoo.com/s/list.php?c=%B6g%C3%E4%B2%A3%AB%7E&amp;rr=0.76237000%201435595668"/>
    <hyperlink ref="A50" r:id="rId69" display="https://tw.stock.yahoo.com/s/list.php?c=%B5%A7%B0O%AB%AC%B9q%B8%A3&amp;rr=0.76237300%201435595668"/>
    <hyperlink ref="B50" r:id="rId70" display="https://tw.stock.yahoo.com/s/list.php?c=%C5%E3%A5%DC%BE%B9&amp;rr=0.76237400%201435595668"/>
    <hyperlink ref="D50" r:id="rId71" display="https://tw.stock.yahoo.com/s/list.php?c=%B3q%B0T%BA%F4%B8%F4&amp;rr=0.76237500%201435595668"/>
    <hyperlink ref="E50" r:id="rId72" display="https://tw.stock.yahoo.com/s/list.php?c=%B9q%B8%A3%B3q%B8%F4%B0%D3&amp;rr=0.76237700%201435595668"/>
    <hyperlink ref="A51" r:id="rId73" display="https://tw.stock.yahoo.com/s/list.php?c=%A8t%B2%CE%BE%E3%A6X&amp;rr=0.76237800%201435595668"/>
    <hyperlink ref="B51" r:id="rId74" display="https://tw.stock.yahoo.com/s/list.php?c=%A6L%A8%EA%B9q%B8%F4%AAO&amp;rr=0.76238100%201435595668"/>
    <hyperlink ref="D51" r:id="rId75" display="https://tw.stock.yahoo.com/s/list.php?c=Internet%AC%DB%C3%F6&amp;rr=0.76238300%201435595668"/>
    <hyperlink ref="E51" r:id="rId76" display="https://tw.stock.yahoo.com/s/list.php?c=%A4%E2%BE%F7&amp;rr=0.76238700%201435595668"/>
    <hyperlink ref="A52" r:id="rId77" display="https://tw.stock.yahoo.com/s/list.php?c=%BC%C6%A6%EC%AC%DB%BE%F7&amp;rr=0.76238800%201435595668"/>
    <hyperlink ref="B52" r:id="rId78" display="https://tw.stock.yahoo.com/s/list.php?c=%B3Q%B0%CA%A4%B8%A5%F3&amp;rr=0.76239100%201435595668"/>
    <hyperlink ref="D52" r:id="rId79" display="https://tw.stock.yahoo.com/s/list.php?c=%B9q%B7%BD%A8%D1%C0%B3%BE%B9&amp;rr=0.76239300%201435595668"/>
    <hyperlink ref="E52" r:id="rId80" display="https://tw.stock.yahoo.com/s/list.php?c=PDA&amp;rr=0.76239400%201435595668"/>
    <hyperlink ref="A53" r:id="rId81" display="https://tw.stock.yahoo.com/s/list.php?c=%B1M%B7%7E%B4%B9%B6%EA%A5N%A4u&amp;rr=0.76239600%201435595668"/>
    <hyperlink ref="B53" r:id="rId82" display="https://tw.stock.yahoo.com/s/list.php?c=%B9q%ABH%2F%BC%C6%BE%DA%AAA%B0%C8&amp;rr=0.76239700%201435595668"/>
    <hyperlink ref="D53" r:id="rId83" display="https://tw.stock.yahoo.com/s/list.php?c=%B5L%BDu%BA%F4%B8%F4&amp;rr=0.76239900%201435595668"/>
    <hyperlink ref="E53" r:id="rId84" display="https://tw.stock.yahoo.com/s/list.php?c=LED&amp;rr=0.76240100%201435595668"/>
    <hyperlink ref="C55" location="ystkglonav" display="ystkglonav"/>
    <hyperlink ref="A56" r:id="rId85" display="https://tw.stock.yahoo.com/s/list2.php?c=%A5x%B0%D3%A6%AC%A6%A8&amp;rr=0.76243100%201435595668"/>
    <hyperlink ref="B56" r:id="rId86" display="https://tw.stock.yahoo.com/s/list2.php?c=%B0%EA%A5%F8%A8p%A6%B3&amp;rr=0.76243500%201435595668"/>
    <hyperlink ref="D56" r:id="rId87" display="https://tw.stock.yahoo.com/s/list2.php?c=iTV&amp;rr=0.76243700%201435595668"/>
    <hyperlink ref="E56" r:id="rId88" display="https://tw.stock.yahoo.com/s/list2.php?c=%B0%AA%B4%DE%A7Q%B2v&amp;rr=0.76243800%201435595668"/>
    <hyperlink ref="A57" r:id="rId89" display="https://tw.stock.yahoo.com/s/list2.php?c=%AE%FC%B6q%B8%EA%AE%C6&amp;rr=0.76244900%201435595668"/>
    <hyperlink ref="B57" r:id="rId90" display="https://tw.stock.yahoo.com/s/list2.php?c=%BC%DA%A4%B8%B6S%AD%C8&amp;rr=0.76245100%201435595668"/>
    <hyperlink ref="D57" r:id="rId91" display="https://tw.stock.yahoo.com/s/list2.php?c=%B9B%B0%CA%AAA%B9%A2&amp;rr=0.76245200%201435595668"/>
    <hyperlink ref="E57" r:id="rId92" display="https://tw.stock.yahoo.com/s/list2.php?c=%C6%5B%A5%FA%B6%BA%A9%B1%C1%CA%AA%AB%A4%A4%A4%DF&amp;rr=0.76245400%201435595668"/>
    <hyperlink ref="A58" r:id="rId93" display="https://tw.stock.yahoo.com/s/list2.php?c=%A6A%A5%CD%B4%60%C0%F4&amp;rr=0.76246200%201435595668"/>
    <hyperlink ref="B58" r:id="rId94" display="https://tw.stock.yahoo.com/s/list2.php?c=Apple+iTV&amp;rr=0.76246400%201435595668"/>
    <hyperlink ref="D58" r:id="rId95" display="https://tw.stock.yahoo.com/s/list2.php?c=%AE%F5%BB%CB%A4%C9%AD%C8&amp;rr=0.76246600%201435595668"/>
    <hyperlink ref="E58" r:id="rId96" display="https://tw.stock.yahoo.com/s/list2.php?c=%B0%D3%A5%CE%A4%A3%B0%CA%B2%A3%B7%A7%A9%C0&amp;rr=0.76246700%201435595668"/>
    <hyperlink ref="A59" r:id="rId97" display="https://tw.stock.yahoo.com/s/list2.php?c=%BA%D2%C5%D6%BA%FB&amp;rr=0.76247500%201435595668"/>
    <hyperlink ref="B59" r:id="rId98" display="https://tw.stock.yahoo.com/s/list2.php?c=%B5L%A4H%BEr%BEp&amp;rr=0.76247700%201435595668"/>
    <hyperlink ref="D59" r:id="rId99" display="https://tw.stock.yahoo.com/s/list2.php?c=%B6%C7%B2%A3%A6%CA%A4%B8%AD%D1%BC%D6%B3%A1&amp;rr=0.76247900%201435595668"/>
    <hyperlink ref="E59" r:id="rId100" display="https://tw.stock.yahoo.com/s/list2.php?c=MSCI&amp;rr=0.76248000%201435595668"/>
    <hyperlink ref="A60" r:id="rId101" display="https://tw.stock.yahoo.com/s/list2.php?c=%AAo%B9q%A8%AE&amp;rr=0.76248800%201435595668"/>
    <hyperlink ref="B60" r:id="rId102" display="https://tw.stock.yahoo.com/s/list2.php?c=QE3&amp;rr=0.76249000%201435595668"/>
    <hyperlink ref="D60" r:id="rId103" display="https://tw.stock.yahoo.com/s/list2.php?c=%AC%EF%C0%B9%B8%CB%B8m&amp;rr=0.76249200%201435595668"/>
    <hyperlink ref="E60" r:id="rId104" display="https://tw.stock.yahoo.com/s/list2.php?c=%AE%D6%AF%E0%B5o%B9q&amp;rr=0.76249300%201435595668"/>
    <hyperlink ref="A61" r:id="rId105" display="https://tw.stock.yahoo.com/s/list2.php?c=%BF%FB%C5K%A6%A9%A5%F3&amp;rr=0.76250100%201435595668"/>
    <hyperlink ref="B61" r:id="rId106" display="https://tw.stock.yahoo.com/s/list2.php?c=%AA%F7%BF%C4MOU&amp;rr=0.76250200%201435595668"/>
    <hyperlink ref="D61" r:id="rId107" display="https://tw.stock.yahoo.com/s/list2.php?c=%BB%A8%A6v%B7%A7%A9%C0&amp;rr=0.76250400%201435595668"/>
    <hyperlink ref="E61" r:id="rId108" display="https://tw.stock.yahoo.com/s/list2.php?c=%B4N%B7%7E88&amp;rr=0.76250500%201435595668"/>
    <hyperlink ref="A62" r:id="rId109" display="https://tw.stock.yahoo.com/s/list2.php?c=%BA%EB%AB%7E&amp;rr=0.76251300%201435595668"/>
    <hyperlink ref="B62" r:id="rId110" display="https://tw.stock.yahoo.com/s/list2.php?c=%A8%C8%ACw%AAx%A5%CE%BE%F0%AF%D7%BA%A6%BB%F9&amp;rr=0.76251500%201435595668"/>
    <hyperlink ref="D62" r:id="rId111" display="https://tw.stock.yahoo.com/s/list2.php?c=%C1%7E%B9S%AB%FC%BC%C6&amp;rr=0.76251600%201435595668"/>
    <hyperlink ref="E62" r:id="rId112" display="https://tw.stock.yahoo.com/s/list2.php?c=LED%A5%FA%B7%BD&amp;rr=0.76251800%201435595668"/>
    <hyperlink ref="A63" r:id="rId113" display="https://tw.stock.yahoo.com/s/list2.php?c=%B3%5D%B3%C6%B3q%B8%F4&amp;rr=0.76252500%201435595668"/>
    <hyperlink ref="B63" r:id="rId114" display="https://tw.stock.yahoo.com/s/list2.php?c=%B9B%B0%CA%BEc&amp;rr=0.76252700%201435595668"/>
    <hyperlink ref="D63" r:id="rId115" display="https://tw.stock.yahoo.com/s/list2.php?c=%C3%C4%AB%7E%B3q%B8%F4&amp;rr=0.76252800%201435595668"/>
    <hyperlink ref="E63" r:id="rId116" display="https://tw.stock.yahoo.com/s/list2.php?c=%B7s%A5%FC%A5%CD%A7%DE&amp;rr=0.76253000%201435595668"/>
    <hyperlink ref="A64" r:id="rId117" display="https://tw.stock.yahoo.com/s/list2.php?c=%B4N%B7%7E99&amp;rr=0.76253700%201435595668"/>
    <hyperlink ref="B64" r:id="rId118" display="https://tw.stock.yahoo.com/s/list2.php?c=4K2K+TV&amp;rr=0.76253900%201435595668"/>
    <hyperlink ref="D64" r:id="rId119" display="https://tw.stock.yahoo.com/s/list2.php?c=Kinect&amp;rr=0.76254000%201435595668"/>
    <hyperlink ref="E64" r:id="rId120" display="https://tw.stock.yahoo.com/s/list2.php?c=%A4u%A8%E3%BE%F7%BCt&amp;rr=0.76254200%201435595668"/>
    <hyperlink ref="A65" r:id="rId121" display="https://tw.stock.yahoo.com/s/list2.php?c=%ADu%AC%FC%B1%BE%B5P&amp;rr=0.76254900%201435595668"/>
    <hyperlink ref="B65" r:id="rId122" display="https://tw.stock.yahoo.com/s/list2.php?c=%AE%E7%B6%E9%AF%E8%AA%C5%AB%B0&amp;rr=0.76255100%201435595668"/>
    <hyperlink ref="D65" r:id="rId123" display="https://tw.stock.yahoo.com/s/list2.php?c=%B0%AA%C1%7E100&amp;rr=0.76255200%201435595668"/>
    <hyperlink ref="E65" r:id="rId124" display="https://tw.stock.yahoo.com/s/list2.php?c=%B9q%ABH%B9s%B0%E2%B3q%B8%F4&amp;rr=0.76255800%201435595668"/>
    <hyperlink ref="A66" r:id="rId125" display="https://tw.stock.yahoo.com/s/list2.php?c=AppleWatch&amp;rr=0.76256600%201435595668"/>
    <hyperlink ref="B66" r:id="rId126" display="https://tw.stock.yahoo.com/s/list2.php?c=iPhone+6&amp;rr=0.76256800%201435595668"/>
    <hyperlink ref="D66" r:id="rId127" display="https://tw.stock.yahoo.com/s/list2.php?c=%A4%A4%B7%A7%B3q%B8%F4&amp;rr=0.76256900%201435595668"/>
    <hyperlink ref="E66" r:id="rId128" display="https://tw.stock.yahoo.com/s/list2.php?c=%A4%40%B1a%A4%40%B8%F4&amp;rr=0.76257100%201435595668"/>
    <hyperlink ref="A67" r:id="rId129" display="https://tw.stock.yahoo.com/s/list2.php?c=%A7C%BB%F9%B4%BC%BCz%A4%E2%BE%F7&amp;rr=0.76257700%201435595668"/>
    <hyperlink ref="B67" r:id="rId130" display="https://tw.stock.yahoo.com/s/list2.php?c=%B9q%B0%CA%A8%AE&amp;rr=0.76257900%201435595668"/>
    <hyperlink ref="D67" r:id="rId131" display="https://tw.stock.yahoo.com/s/list2.php?c=%B6%B3%BA%DD%B7%A7%A9%C0&amp;rr=0.76258100%201435595668"/>
    <hyperlink ref="E67" r:id="rId132" display="https://tw.stock.yahoo.com/s/list2.php?c=%B0%B7%B1d%AD%B9%AB%7E&amp;rr=0.76258500%201435595668"/>
    <hyperlink ref="A68" r:id="rId133" display="https://tw.stock.yahoo.com/s/list2.php?c=%B7s%A5%FC%AF%E0%B7%BD&amp;rr=0.76259200%201435595668"/>
    <hyperlink ref="B68" r:id="rId134" display="https://tw.stock.yahoo.com/s/list2.php?c=%A4%A4%B8%EA%A6a%B2%A3&amp;rr=0.76259400%201435595668"/>
    <hyperlink ref="D68" r:id="rId135" display="https://tw.stock.yahoo.com/s/list2.php?c=%BA%F4%C1%CA%AC%DB%C3%F6&amp;rr=0.76259600%201435595668"/>
    <hyperlink ref="E68" r:id="rId136" display="https://tw.stock.yahoo.com/s/list2.php?c=%B0%D3%A5%CE%A4%A3%B0%CA%B2%A3&amp;rr=0.76259700%201435595668"/>
    <hyperlink ref="A69" r:id="rId137" display="https://tw.stock.yahoo.com/s/list2.php?c=%A4%BA%BB%DD%A6%AC%A6%A8&amp;rr=0.76260300%201435595668"/>
    <hyperlink ref="B69" r:id="rId138" display="https://tw.stock.yahoo.com/s/list2.php?c=%A5%DB%BE%A5%B2m&amp;rr=0.76260500%201435595668"/>
    <hyperlink ref="D69" r:id="rId139" display="https://tw.stock.yahoo.com/s/list2.php?c=%B4%BC%BCz%AB%B0%A5%AB&amp;rr=0.76260700%201435595668"/>
    <hyperlink ref="E69" r:id="rId140" display="https://tw.stock.yahoo.com/s/list2.php?c=%B4%E4%AA%D1%B3q&amp;rr=0.76260800%201435595668"/>
    <hyperlink ref="A70" r:id="rId141" display="https://tw.stock.yahoo.com/s/list2.php?c=%B0%AA%B4%DE%A7Q%C0%F2%A7Q&amp;rr=0.76261400%201435595668"/>
    <hyperlink ref="B70" r:id="rId142" display="https://tw.stock.yahoo.com/s/list2.php?c=%A4%A4%B0%EA%B0%AA%C5K&amp;rr=0.76261600%201435595668"/>
    <hyperlink ref="D70" r:id="rId143" display="https://tw.stock.yahoo.com/s/list2.php?c=%B5L%BDu%A5R%B9q&amp;rr=0.76261700%201435595668"/>
    <hyperlink ref="E70" r:id="rId144" display="https://tw.stock.yahoo.com/s/list2.php?c=PS4&amp;rr=0.76261900%201435595668"/>
    <hyperlink ref="A71" r:id="rId145" display="https://tw.stock.yahoo.com/s/list2.php?c=%A4p%A6%CC%A4%E2%BE%F7&amp;rr=0.76262500%201435595668"/>
    <hyperlink ref="B71" r:id="rId146" display="https://tw.stock.yahoo.com/s/list2.php?c=%A5x%C6W100&amp;rr=0.76262700%201435595668"/>
    <hyperlink ref="D71" r:id="rId147" display="https://tw.stock.yahoo.com/s/list2.php?c=%A8%AE%B8%FC%B0O%BE%D0&amp;rr=0.76262800%201435595668"/>
    <hyperlink ref="E71" r:id="rId148" display="https://tw.stock.yahoo.com/s/list2.php?c=%A4%A4%B7%A7%C2%E5%C0%F8&amp;rr=0.76263000%201435595668"/>
    <hyperlink ref="A72" r:id="rId149" display="https://tw.stock.yahoo.com/s/list2.php?c=iPad+mini&amp;rr=0.76263600%201435595668"/>
    <hyperlink ref="B72" r:id="rId150" display="https://tw.stock.yahoo.com/s/list2.php?c=NIKE&amp;rr=0.76263700%201435595668"/>
    <hyperlink ref="D72" r:id="rId151" display="https://tw.stock.yahoo.com/s/list2.php?c=%A8%E2%A9%A4%A4T%A6a500%AB%FC&amp;rr=0.76263900%201435595668"/>
    <hyperlink ref="E72" r:id="rId152" display="https://tw.stock.yahoo.com/s/list2.php?c=%C3%E8%C0Y&amp;rr=0.76264100%201435595668"/>
    <hyperlink ref="A73" r:id="rId153" display="https://tw.stock.yahoo.com/s/list2.php?c=%A5x%B9%F4%A4%C9%AD%C8&amp;rr=0.76264600%201435595668"/>
    <hyperlink ref="B73" r:id="rId154" display="https://tw.stock.yahoo.com/s/list2.php?c=%C4%AB%AAG%A8%D1%C0%B3&amp;rr=0.76264800%201435595668"/>
    <hyperlink ref="D73" r:id="rId155" display="https://tw.stock.yahoo.com/s/list2.php?c=%C4%B2%B1%B1&amp;rr=0.76264900%201435595668"/>
    <hyperlink ref="E73" r:id="rId156" display="https://tw.stock.yahoo.com/s/list2.php?c=%C3%F6%C1%E4%B9s%B2%D5&amp;rr=0.76265100%201435595668"/>
    <hyperlink ref="A74" r:id="rId157" display="https://tw.stock.yahoo.com/s/list2.php?c=%C0%A6%A5%AE%A8%E0&amp;rr=0.76265600%201435595668"/>
    <hyperlink ref="B74" r:id="rId158" display="https://tw.stock.yahoo.com/s/list2.php?c=QDII&amp;rr=0.76265800%201435595668"/>
    <hyperlink ref="D74" r:id="rId159" display="https://tw.stock.yahoo.com/s/list2.php?c=WiMax&amp;rr=0.76266000%201435595668"/>
    <hyperlink ref="E74" r:id="rId160" display="https://tw.stock.yahoo.com/s/list2.php?c=Google+TV&amp;rr=0.76266100%201435595668"/>
    <hyperlink ref="A75" r:id="rId161" display="https://tw.stock.yahoo.com/s/list2.php?c=%A5%7E%BEP%A6%AC%A6%A8&amp;rr=0.76266600%201435595668"/>
    <hyperlink ref="B75" r:id="rId162" display="https://tw.stock.yahoo.com/s/list2.php?c=%B9q%B0%CA%A8%AETesla&amp;rr=0.76266800%201435595668"/>
    <hyperlink ref="D75" r:id="rId163" display="https://tw.stock.yahoo.com/s/list2.php?c=%A4%A4%B8%EA%ABO%C0I&amp;rr=0.76267000%201435595668"/>
    <hyperlink ref="E75" r:id="rId164" display="https://tw.stock.yahoo.com/s/list2.php?c=%C4%B2%B1%B1%AD%B1%AAO&amp;rr=0.76267100%201435595668"/>
    <hyperlink ref="A76" r:id="rId165" display="https://tw.stock.yahoo.com/s/list2.php?c=%B7L%B3nSurface&amp;rr=0.76269900%201435595668"/>
    <hyperlink ref="B76" r:id="rId166" display="https://tw.stock.yahoo.com/s/list2.php?c=%C1n%B1%B1&amp;rr=0.76270100%201435595668"/>
    <hyperlink ref="D76" r:id="rId167" display="https://tw.stock.yahoo.com/s/list2.php?c=%A4%E9%A4%B8%B6S%AD%C8&amp;rr=0.76270300%201435595668"/>
    <hyperlink ref="E76" r:id="rId168" display="https://tw.stock.yahoo.com/s/list2.php?c=%AC%FC%B0%EAADR&amp;rr=0.76270500%201435595668"/>
    <hyperlink ref="A77" r:id="rId169" display="https://tw.stock.yahoo.com/s/list2.php?c=%A5x%C6W50&amp;rr=0.76271000%201435595668"/>
    <hyperlink ref="B77" r:id="rId170" display="https://tw.stock.yahoo.com/s/list2.php?c=4G+LTE&amp;rr=0.76271200%201435595668"/>
    <hyperlink ref="D77" r:id="rId171" display="https://tw.stock.yahoo.com/s/list2.php?c=%A4T%ACP&amp;rr=0.76271300%201435595668"/>
    <hyperlink ref="E77" r:id="rId172" display="https://tw.stock.yahoo.com/s/list2.php?c=%B7s%AA%D1%B1%BE%B5P&amp;rr=0.76271500%201435595668"/>
    <hyperlink ref="A78" r:id="rId173" display="https://tw.stock.yahoo.com/s/list2.php?c=3C%B3q%B8%F4%AA%AB%ACy&amp;rr=0.76271900%201435595668"/>
    <hyperlink ref="B78" r:id="rId174" display="https://tw.stock.yahoo.com/s/list2.php?c=%A5%CD%BD%E8%AF%E0%B7%BD&amp;rr=0.76272100%201435595668"/>
    <hyperlink ref="D78" r:id="rId175" display="https://tw.stock.yahoo.com/s/list2.php?c=%A8%BE%AC%CC%C3%C4%AB%7E&amp;rr=0.76272300%201435595668"/>
    <hyperlink ref="E78" r:id="rId176" display="https://tw.stock.yahoo.com/s/list2.php?c=3D+TV&amp;rr=0.76272400%201435595668"/>
    <hyperlink ref="A79" r:id="rId177" display="https://tw.stock.yahoo.com/s/list2.php?c=%BA%AD%B4%E4%B3qAH&amp;rr=0.76272900%201435595668"/>
    <hyperlink ref="B79" r:id="rId178" display="https://tw.stock.yahoo.com/s/list2.php?c=Smart+TV&amp;rr=0.76273100%201435595668"/>
    <hyperlink ref="D79" r:id="rId179" display="https://tw.stock.yahoo.com/s/list2.php?c=iPad+Air&amp;rr=0.76273200%201435595668"/>
    <hyperlink ref="E79" r:id="rId180" display="https://tw.stock.yahoo.com/s/list2.php?c=%B3%A3%A7%F3&amp;rr=0.76273400%201435595668"/>
    <hyperlink ref="A80" r:id="rId181" display="https://tw.stock.yahoo.com/s/list2.php?c=%AD%E7%B0%A3%A6%A8%A5%F7&amp;rr=0.76273900%201435595668"/>
    <hyperlink ref="B80" r:id="rId182" display="https://tw.stock.yahoo.com/s/list2.php?c=%A4%D3%B6%A7%B8%60%AF%E0&amp;rr=0.76274000%201435595668"/>
    <hyperlink ref="D80" r:id="rId183" display="https://tw.stock.yahoo.com/s/list2.php?c=%B7s%BCW%A6%A8%A5%F7&amp;rr=0.76274200%201435595668"/>
    <hyperlink ref="E80" r:id="rId184" display="https://tw.stock.yahoo.com/s/list2.php?c=%B6%C0%AA%F7%B7%A7%A9%C0&amp;rr=0.76274300%201435595668"/>
    <hyperlink ref="A81" r:id="rId185" display="https://tw.stock.yahoo.com/s/list2.php?c=%A4H%A5%C1%B9%F4%A4%C9&amp;rr=0.76274800%201435595668"/>
    <hyperlink ref="B81" r:id="rId186" display="https://tw.stock.yahoo.com/s/list2.php?c=%B2%C4%A4T%A4%E8%A4%E4%A5I&amp;rr=0.76275000%201435595668"/>
    <hyperlink ref="D81" r:id="rId187" display="https://tw.stock.yahoo.com/s/list2.php?c=%A8%E4%A5%A6%B2%D5%A5%F3&amp;rr=0.76275100%201435595668"/>
    <hyperlink ref="E81" r:id="rId188" display="https://tw.stock.yahoo.com/s/list2.php?c=%A5%CD%A7%DE%B9A%B7%7E&amp;rr=0.76275300%201435595668"/>
    <hyperlink ref="A82" r:id="rId189" display="https://tw.stock.yahoo.com/s/list2.php?c=%C4%AB%AAG&amp;rr=0.76275700%201435595668"/>
    <hyperlink ref="B82" r:id="rId190" display="https://tw.stock.yahoo.com/s/list2.php?c=%B0%AA%A6%A8%AA%F8&amp;rr=0.76275900%201435595668"/>
    <hyperlink ref="D82" r:id="rId191" display="https://tw.stock.yahoo.com/s/list2.php?c=%A4%A4%B0%EA%B8%EA%B2%A3&amp;rr=0.76276000%201435595668"/>
    <hyperlink ref="E82" r:id="rId192" display="https://tw.stock.yahoo.com/s/list2.php?c=%B4I%C2d50&amp;rr=0.76276200%201435595668"/>
    <hyperlink ref="A83" r:id="rId193" display="https://tw.stock.yahoo.com/s/list2.php?c=Google%B2%B4%C3%E8&amp;rr=0.76276600%201435595668"/>
    <hyperlink ref="B83" r:id="rId194" display="https://tw.stock.yahoo.com/s/list2.php?c=%A5%CD%A7%DE%AAA%B0%C8&amp;rr=0.76276800%201435595668"/>
    <hyperlink ref="D83" r:id="rId195" display="https://tw.stock.yahoo.com/s/list2.php?c=%AE%E7%B6%E9%BE%F7%B3%F5%B1%B6%B9B&amp;rr=0.76276900%201435595668"/>
    <hyperlink ref="E83" r:id="rId196" display="https://tw.stock.yahoo.com/s/list2.php?c=SDN&amp;rr=0.76277100%201435595668"/>
    <hyperlink ref="A84" r:id="rId197" display="https://tw.stock.yahoo.com/s/list2.php?c=%C3%C4%AB%7E%A5%CD%B2%A3&amp;rr=0.76277500%201435595668"/>
    <hyperlink ref="B84" r:id="rId198" display="https://tw.stock.yahoo.com/s/list2.php?c=%B8%7D%BD%F1%A8%AE&amp;rr=0.76277600%201435595668"/>
    <hyperlink ref="D84" r:id="rId199" display="https://tw.stock.yahoo.com/s/list2.php?c=%AD%BB%B4%E4%B1%BE%B5P&amp;rr=0.76277800%201435595668"/>
    <hyperlink ref="E84" r:id="rId200" display="https://tw.stock.yahoo.com/s/list2.php?c=%AF%E8%B9B%AA%D1&amp;rr=0.76277900%201435595668"/>
    <hyperlink ref="A85" r:id="rId201" display="https://tw.stock.yahoo.com/s/list2.php?c=%B0%AA%AA%D1%AE%A7&amp;rr=0.76278300%201435595668"/>
    <hyperlink ref="B85" r:id="rId202" display="https://tw.stock.yahoo.com/s/list2.php?c=%B3%A3%A7%F3%B7%A7%A9%C0&amp;rr=0.76278500%201435595668"/>
    <hyperlink ref="D85" r:id="rId203" display="https://tw.stock.yahoo.com/s/list2.php?c=%C2%E5%C0%F8%C0%CB%B4%FA%B3%5D%B3%C6&amp;rr=0.76278600%201435595668"/>
    <hyperlink ref="E85" r:id="rId204" display="https://tw.stock.yahoo.com/s/list2.php?c=%BA%AD%AA%D1%B3q&amp;rr=0.76279200%201435595668"/>
    <hyperlink ref="A86" r:id="rId205" display="https://tw.stock.yahoo.com/s/list2.php?c=%AAx%A6%DB%B0%CA%A4%C6&amp;rr=0.76279600%201435595668"/>
    <hyperlink ref="B86" r:id="rId206" display="https://tw.stock.yahoo.com/s/list2.php?c=%A7%BB%B9F%B9q&amp;rr=0.76279800%201435595668"/>
    <hyperlink ref="D86" r:id="rId207" display="https://tw.stock.yahoo.com/s/list2.php?c=%B8%EA%B2%A3%B7%A7%A9%C0&amp;rr=0.76279900%201435595668"/>
    <hyperlink ref="E86" r:id="rId208" display="https://tw.stock.yahoo.com/s/list2.php?c=%A8%AE%C1p%BA%F4&amp;rr=0.76280100%201435595668"/>
    <hyperlink ref="A87" r:id="rId209" display="https://tw.stock.yahoo.com/s/list2.php?c=%B6V%ABn%B3%5D%BCt&amp;rr=0.76280400%201435595668"/>
    <hyperlink ref="B87" r:id="rId210" display="https://tw.stock.yahoo.com/s/list2.php?c=%B3%5D%B3%C6%B2%D5%A5%F3&amp;rr=0.76280600%201435595668"/>
    <hyperlink ref="D87" r:id="rId211" display="https://tw.stock.yahoo.com/s/list2.php?c=%BA%AD%B2%60B%AA%D1&amp;rr=0.76280800%201435595668"/>
    <hyperlink ref="E87" r:id="rId212" display="https://tw.stock.yahoo.com/s/list2.php?c=3D%A6C%A6L&amp;rr=0.76280900%201435595668"/>
    <hyperlink ref="A88" r:id="rId213" display="https://tw.stock.yahoo.com/s/list2.php?c=3D%A7%DE%B3N&amp;rr=0.76281300%201435595668"/>
    <hyperlink ref="B88" r:id="rId214" display="https://tw.stock.yahoo.com/s/list2.php?c=Windows8&amp;rr=0.76281400%201435595668"/>
    <hyperlink ref="D88" r:id="rId215" display="https://tw.stock.yahoo.com/s/list2.php?c=%B8%EA%B2%A3%C3D%A7%F7%AA%D1&amp;rr=0.76281600%201435595668"/>
    <hyperlink ref="C90" location="ystkglonav" display="ystkglonav"/>
    <hyperlink ref="A91" r:id="rId216" display="https://tw.stock.yahoo.com/s/list2.php?c=%B5%D8%A5%DF&amp;rr=0.76282800%201435595668"/>
    <hyperlink ref="B91" r:id="rId217" display="https://tw.stock.yahoo.com/s/list2.php?c=%B3%BB%B7s%B0%EA%BB%DA&amp;rr=0.76283000%201435595668"/>
    <hyperlink ref="D91" r:id="rId218" display="https://tw.stock.yahoo.com/s/list2.php?c=%B5%D8%BA%D3&amp;rr=0.76283100%201435595668"/>
    <hyperlink ref="E91" r:id="rId219" display="https://tw.stock.yahoo.com/s/list2.php?c=%AA%BF%AB%7E&amp;rr=0.76283300%201435595668"/>
    <hyperlink ref="A92" r:id="rId220" display="https://tw.stock.yahoo.com/s/list2.php?c=%A4T%B0%D3%A6%E6&amp;rr=0.76283900%201435595668"/>
    <hyperlink ref="B92" r:id="rId221" display="https://tw.stock.yahoo.com/s/list2.php?c=%B5%D8%B7s&amp;rr=0.76284100%201435595668"/>
    <hyperlink ref="D92" r:id="rId222" display="https://tw.stock.yahoo.com/s/list2.php?c=%BC%ED%AE%F5&amp;rr=0.76284600%201435595668"/>
    <hyperlink ref="E92" r:id="rId223" display="https://tw.stock.yahoo.com/s/list2.php?c=%B7s%A5%FA&amp;rr=0.76284800%201435595668"/>
    <hyperlink ref="A93" r:id="rId224" display="https://tw.stock.yahoo.com/s/list2.php?c=%B8%CE%B6%A9&amp;rr=0.76285400%201435595668"/>
    <hyperlink ref="B93" r:id="rId225" display="https://tw.stock.yahoo.com/s/list2.php?c=%A5%C3%C2%D7%BEl&amp;rr=0.76285600%201435595668"/>
    <hyperlink ref="D93" r:id="rId226" display="https://tw.stock.yahoo.com/s/list2.php?c=%BDn%B3%D0%B8%EA%B3q&amp;rr=0.76285700%201435595668"/>
    <hyperlink ref="E93" r:id="rId227" display="https://tw.stock.yahoo.com/s/list2.php?c=%A7%D3%B6W&amp;rr=0.76285900%201435595668"/>
    <hyperlink ref="A94" r:id="rId228" display="https://tw.stock.yahoo.com/s/list2.php?c=%AB%C2%B2%B1&amp;rr=0.76286500%201435595668"/>
    <hyperlink ref="B94" r:id="rId229" display="https://tw.stock.yahoo.com/s/list2.php?c=%B8s%A5%FA%C2%C5%A4%D1&amp;rr=0.76286600%201435595668"/>
    <hyperlink ref="D94" r:id="rId230" display="https://tw.stock.yahoo.com/s/list2.php?c=%A4%A4%B1j%A5%FA%B9q&amp;rr=0.76286800%201435595668"/>
    <hyperlink ref="E94" r:id="rId231" display="https://tw.stock.yahoo.com/s/list2.php?c=%A5%F5%BCw&amp;rr=0.76286900%201435595668"/>
    <hyperlink ref="A95" r:id="rId232" display="https://tw.stock.yahoo.com/s/list2.php?c=%A5%BF%B4Q&amp;rr=0.76287500%201435595668"/>
    <hyperlink ref="B95" r:id="rId233" display="https://tw.stock.yahoo.com/s/list2.php?c=%A5%DD%A6%F9%B0%F3&amp;rr=0.76287700%201435595668"/>
    <hyperlink ref="D95" r:id="rId234" display="https://tw.stock.yahoo.com/s/list2.php?c=%A9M%BA%D3&amp;rr=0.76287800%201435595668"/>
    <hyperlink ref="E95" r:id="rId235" display="https://tw.stock.yahoo.com/s/list2.php?c=%AA%F8%BAa&amp;rr=0.76288000%201435595668"/>
    <hyperlink ref="A96" r:id="rId236" display="https://tw.stock.yahoo.com/s/list2.php?c=%AA%F7%A4%AF%C4_&amp;rr=0.76288500%201435595668"/>
    <hyperlink ref="B96" r:id="rId237" display="https://tw.stock.yahoo.com/s/list2.php?c=%A5%BF%B6%A9&amp;rr=0.76288700%201435595668"/>
    <hyperlink ref="D96" r:id="rId238" display="https://tw.stock.yahoo.com/s/list2.php?c=%A9%F4%A9%F4&amp;rr=0.76288800%201435595668"/>
    <hyperlink ref="E96" r:id="rId239" display="https://tw.stock.yahoo.com/s/list2.php?c=%A4%E9%A4%EB%A5%FA&amp;rr=0.76289000%201435595668"/>
    <hyperlink ref="A97" r:id="rId240" display="https://tw.stock.yahoo.com/s/list2.php?c=%A5%DF%AFq%AF%BC%C2%B4&amp;rr=0.76289500%201435595668"/>
    <hyperlink ref="B97" r:id="rId241" display="https://tw.stock.yahoo.com/s/list2.php?c=%A4%A4%B9%A9%A4u%B5%7B&amp;rr=0.76289700%201435595668"/>
    <hyperlink ref="D97" r:id="rId242" display="https://tw.stock.yahoo.com/s/list2.php?c=%B2%CE%A4%40&amp;rr=0.76289800%201435595668"/>
    <hyperlink ref="E97" r:id="rId243" display="https://tw.stock.yahoo.com/s/list2.php?c=%A4%A4%C0%F4&amp;rr=0.76290000%201435595668"/>
    <hyperlink ref="A98" r:id="rId244" display="https://tw.stock.yahoo.com/s/list2.php?c=%BB%B7%B6%AF&amp;rr=0.76290500%201435595668"/>
    <hyperlink ref="B98" r:id="rId245" display="https://tw.stock.yahoo.com/s/list2.php?c=%A4O%C4R&amp;rr=0.76290600%201435595668"/>
    <hyperlink ref="D98" r:id="rId246" display="https://tw.stock.yahoo.com/s/list2.php?c=%BB%F5%A5%FA&amp;rr=0.76290800%201435595668"/>
    <hyperlink ref="E98" r:id="rId247" display="https://tw.stock.yahoo.com/s/list2.php?c=%A4j%C1p%A4j&amp;rr=0.76290900%201435595668"/>
    <hyperlink ref="A99" r:id="rId248" display="https://tw.stock.yahoo.com/s/list2.php?c=%EAM%C1p%BF%FB%C5K&amp;rr=0.76291400%201435595668"/>
    <hyperlink ref="B99" r:id="rId249" display="https://tw.stock.yahoo.com/s/list2.php?c=%A4j%BB%F5&amp;rr=0.76291600%201435595668"/>
    <hyperlink ref="D99" r:id="rId250" display="https://tw.stock.yahoo.com/s/list2.php?c=%AF%E0%B2v&amp;rr=0.76291800%201435595668"/>
    <hyperlink ref="E99" r:id="rId251" display="https://tw.stock.yahoo.com/s/list2.php?c=%A4O%B4%B9&amp;rr=0.76291900%201435595668"/>
    <hyperlink ref="A100" r:id="rId252" display="https://tw.stock.yahoo.com/s/list2.php?c=%AAF%A4%B8%B9q%BE%F7&amp;rr=0.76292400%201435595668"/>
    <hyperlink ref="B100" r:id="rId253" display="https://tw.stock.yahoo.com/s/list2.php?c=%AD%E2%B6%A7&amp;rr=0.76292600%201435595668"/>
    <hyperlink ref="D100" r:id="rId254" display="https://tw.stock.yahoo.com/s/list2.php?c=%A9M%AE%E4&amp;rr=0.76292700%201435595668"/>
    <hyperlink ref="E100" r:id="rId255" display="https://tw.stock.yahoo.com/s/list2.php?c=%ABn%B0T&amp;rr=0.76292900%201435595668"/>
    <hyperlink ref="A101" r:id="rId256" display="https://tw.stock.yahoo.com/s/list2.php?c=%B0%EA%A5%A8&amp;rr=0.76293300%201435595668"/>
    <hyperlink ref="B101" r:id="rId257" display="https://tw.stock.yahoo.com/s/list2.php?c=%AAF%ACv&amp;rr=0.76293500%201435595668"/>
    <hyperlink ref="D101" r:id="rId258" display="https://tw.stock.yahoo.com/s/list2.php?c=%A4j%A6P&amp;rr=0.76293600%201435595668"/>
    <hyperlink ref="E101" r:id="rId259" display="https://tw.stock.yahoo.com/s/list2.php?c=%AD%5E%B7%7E%B9F&amp;rr=0.76293800%201435595668"/>
    <hyperlink ref="A102" r:id="rId260" display="https://tw.stock.yahoo.com/s/list2.php?c=%A4j%B2%B3&amp;rr=0.76294200%201435595668"/>
    <hyperlink ref="B102" r:id="rId261" display="https://tw.stock.yahoo.com/s/list2.php?c=%C1n%C4_&amp;rr=0.76294400%201435595668"/>
    <hyperlink ref="D102" r:id="rId262" display="https://tw.stock.yahoo.com/s/list2.php?c=%C1p%B9q&amp;rr=0.76294500%201435595668"/>
    <hyperlink ref="E102" r:id="rId263" display="https://tw.stock.yahoo.com/s/list2.php?c=%C4_%A6%A8&amp;rr=0.76294700%201435595668"/>
    <hyperlink ref="A103" r:id="rId264" display="https://tw.stock.yahoo.com/s/list2.php?c=%AB%C2%A8%CA&amp;rr=0.76295100%201435595668"/>
    <hyperlink ref="B103" r:id="rId265" display="https://tw.stock.yahoo.com/s/list2.php?c=%A4%A4%C5%D6&amp;rr=0.76295300%201435595668"/>
    <hyperlink ref="D103" r:id="rId266" display="https://tw.stock.yahoo.com/s/list2.php?c=%A5x%ABn%C0%B0&amp;rr=0.76295400%201435595668"/>
    <hyperlink ref="E103" r:id="rId267" display="https://tw.stock.yahoo.com/s/list2.php?c=%AA%A2%ACw&amp;rr=0.76295600%201435595668"/>
    <hyperlink ref="A104" r:id="rId268" display="https://tw.stock.yahoo.com/s/list2.php?c=%A4%CD%B9F&amp;rr=0.76296000%201435595668"/>
    <hyperlink ref="B104" r:id="rId269" display="https://tw.stock.yahoo.com/s/list2.php?c=%A5x%B6%EC&amp;rr=0.76296200%201435595668"/>
    <hyperlink ref="D104" r:id="rId270" display="https://tw.stock.yahoo.com/s/list2.php?c=%C2E%AE%FC&amp;rr=0.76296300%201435595668"/>
    <hyperlink ref="E104" r:id="rId271" display="https://tw.stock.yahoo.com/s/list2.php?c=%AC%E3%B5%D8&amp;rr=0.76296500%201435595668"/>
    <hyperlink ref="A105" r:id="rId272" display="https://tw.stock.yahoo.com/s/list2.php?c=%A4h%AAL%AF%C8%B7%7E&amp;rr=0.76296900%201435595668"/>
    <hyperlink ref="B105" r:id="rId273" display="https://tw.stock.yahoo.com/s/list2.php?c=%A5x%BBE&amp;rr=0.76297100%201435595668"/>
    <hyperlink ref="D105" r:id="rId274" display="https://tw.stock.yahoo.com/s/list2.php?c=%EB%E4%BCw&amp;rr=0.76297200%201435595668"/>
    <hyperlink ref="E105" r:id="rId275" display="https://tw.stock.yahoo.com/s/list2.php?c=%A5%FA%C4_&amp;rr=0.76297400%201435595668"/>
    <hyperlink ref="A106" r:id="rId276" display="https://tw.stock.yahoo.com/s/list2.php?c=%B7C%AFq&amp;rr=0.76297700%201435595668"/>
    <hyperlink ref="B106" r:id="rId277" display="https://tw.stock.yahoo.com/s/list2.php?c=%BCs%B9F&amp;rr=0.76297900%201435595668"/>
    <hyperlink ref="D106" r:id="rId278" display="https://tw.stock.yahoo.com/s/list2.php?c=%A4%B8%A4j&amp;rr=0.76298000%201435595668"/>
    <hyperlink ref="E106" r:id="rId279" display="https://tw.stock.yahoo.com/s/list2.php?c=%A4%A4%BF%FB&amp;rr=0.76298200%201435595668"/>
    <hyperlink ref="A107" r:id="rId280" display="https://tw.stock.yahoo.com/s/list2.php?c=%ADZ%AA%BF&amp;rr=0.76298500%201435595668"/>
    <hyperlink ref="B107" r:id="rId281" display="https://tw.stock.yahoo.com/s/list2.php?c=%A4%CD%B0T&amp;rr=0.76299200%201435595668"/>
    <hyperlink ref="D107" r:id="rId282" display="https://tw.stock.yahoo.com/s/list2.php?c=%B5%D8%A6t&amp;rr=0.76299300%201435595668"/>
    <hyperlink ref="E107" r:id="rId283" display="https://tw.stock.yahoo.com/s/list2.php?c=%B0%EA%B2%A3&amp;rr=0.76299500%201435595668"/>
    <hyperlink ref="A108" r:id="rId284" display="https://tw.stock.yahoo.com/s/list2.php?c=%C1p%B5%D8%AF%AB%B3q&amp;rr=0.76299900%201435595668"/>
    <hyperlink ref="B108" r:id="rId285" display="https://tw.stock.yahoo.com/s/list2.php?c=%BB%B7%AAF&amp;rr=0.76300100%201435595668"/>
    <hyperlink ref="D108" r:id="rId286" display="https://tw.stock.yahoo.com/s/list2.php?c=%A5x%BFn%B9q&amp;rr=0.76300200%201435595668"/>
    <hyperlink ref="E108" r:id="rId287" display="https://tw.stock.yahoo.com/s/list2.php?c=%B4I%A8%B9&amp;rr=0.76300400%201435595668"/>
    <hyperlink ref="A109" r:id="rId288" display="https://tw.stock.yahoo.com/s/list2.php?c=%A4%A4%ABH&amp;rr=0.76300700%201435595668"/>
    <hyperlink ref="B109" r:id="rId289" display="https://tw.stock.yahoo.com/s/list2.php?c=%C0s%A8%B9&amp;rr=0.76300900%201435595668"/>
    <hyperlink ref="D109" r:id="rId290" display="https://tw.stock.yahoo.com/s/list2.php?c=%A5x%AAd&amp;rr=0.76301000%201435595668"/>
    <hyperlink ref="E109" r:id="rId291" display="https://tw.stock.yahoo.com/s/list2.php?c=%C0M%B6%E9&amp;rr=0.76301400%201435595668"/>
    <hyperlink ref="A110" r:id="rId292" display="https://tw.stock.yahoo.com/s/list2.php?c=%C0%E9%A9%5B%A5%F8%B7%7E&amp;rr=0.76301800%201435595668"/>
    <hyperlink ref="A3" r:id="rId293" display="https://tw.stock.yahoo.com/q/bc?s=3706"/>
    <hyperlink ref="A4" r:id="rId294" display="https://tw.stock.yahoo.com/pf/pfsel?stocklist=3706;"/>
    <hyperlink ref="A6" r:id="rId295" display="https://tw.stock.yahoo.com/pf/pfsel?stocklist=3706;"/>
    <hyperlink ref="L3" r:id="rId296" display="https://tw.stock.yahoo.com/q/ts?s=3706"/>
    <hyperlink ref="L6" r:id="rId297" display="https://tw.rd.yahoo.com/referurl/stock/other/SIG=125v47s73/**https:/tw.screener.finance.yahoo.net/screener/check.html?symid=3706"/>
    <hyperlink ref="B7" r:id="rId298" display="javascript: CheckP(document.orderform, 'Z', '/fcgi-bin/orderpage.fcg');"/>
    <hyperlink ref="A13" r:id="rId299" display="https://tw.stock.yahoo.com/q/bc?s=3499"/>
    <hyperlink ref="A14" r:id="rId300" display="https://tw.stock.yahoo.com/pf/pfsel?stocklist=3499;"/>
    <hyperlink ref="A16" r:id="rId301" display="https://tw.stock.yahoo.com/pf/pfsel?stocklist=3499;"/>
    <hyperlink ref="L13" r:id="rId302" display="https://tw.stock.yahoo.com/q/ts?s=3499"/>
    <hyperlink ref="L16" r:id="rId303" display="https://tw.rd.yahoo.com/referurl/stock/other/SIG=125v47s73/**https:/tw.screener.finance.yahoo.net/screener/check.html?symid=3499"/>
    <hyperlink ref="B17" r:id="rId304" display="javascript: CheckP(document.orderform, 'Z', '/fcgi-bin/orderpage.fcg');"/>
    <hyperlink ref="A23" r:id="rId305" display="https://tw.stock.yahoo.com/q/bc?s=3306"/>
    <hyperlink ref="A24" r:id="rId306" display="https://tw.stock.yahoo.com/pf/pfsel?stocklist=3306;"/>
    <hyperlink ref="A26" r:id="rId307" display="https://tw.stock.yahoo.com/pf/pfsel?stocklist=3306;"/>
    <hyperlink ref="L23" r:id="rId308" display="https://tw.stock.yahoo.com/q/ts?s=3306"/>
    <hyperlink ref="L26" r:id="rId309" display="https://tw.rd.yahoo.com/referurl/stock/other/SIG=125v47s73/**https:/tw.screener.finance.yahoo.net/screener/check.html?symid=3306"/>
    <hyperlink ref="B27" r:id="rId310" display="javascript: CheckP(document.orderform, 'Z', '/fcgi-bin/orderpage.fcg');"/>
  </hyperlinks>
  <pageMargins left="0.7" right="0.7" top="0.75" bottom="0.75" header="0.3" footer="0.3"/>
  <pageSetup paperSize="9" orientation="portrait" r:id="rId31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12</vt:i4>
      </vt:variant>
      <vt:variant>
        <vt:lpstr>已命名的範圍</vt:lpstr>
      </vt:variant>
      <vt:variant>
        <vt:i4>44</vt:i4>
      </vt:variant>
    </vt:vector>
  </HeadingPairs>
  <TitlesOfParts>
    <vt:vector size="56" baseType="lpstr">
      <vt:lpstr>基本設定</vt:lpstr>
      <vt:lpstr>財報紅綠燈</vt:lpstr>
      <vt:lpstr>財報PK</vt:lpstr>
      <vt:lpstr>篩股系統</vt:lpstr>
      <vt:lpstr>篩穀結果</vt:lpstr>
      <vt:lpstr>評比系統</vt:lpstr>
      <vt:lpstr>清單表</vt:lpstr>
      <vt:lpstr>PK</vt:lpstr>
      <vt:lpstr>PKA</vt:lpstr>
      <vt:lpstr>PKB</vt:lpstr>
      <vt:lpstr>PKC</vt:lpstr>
      <vt:lpstr>PRICE</vt:lpstr>
      <vt:lpstr>PRICE!EE</vt:lpstr>
      <vt:lpstr>財報紅綠燈!EE</vt:lpstr>
      <vt:lpstr>篩股系統!外部資料_100</vt:lpstr>
      <vt:lpstr>篩股系統!外部資料_101</vt:lpstr>
      <vt:lpstr>篩股系統!外部資料_102</vt:lpstr>
      <vt:lpstr>篩股系統!外部資料_103</vt:lpstr>
      <vt:lpstr>篩股系統!外部資料_104</vt:lpstr>
      <vt:lpstr>篩股系統!外部資料_105</vt:lpstr>
      <vt:lpstr>篩股系統!外部資料_106</vt:lpstr>
      <vt:lpstr>篩股系統!外部資料_107</vt:lpstr>
      <vt:lpstr>篩股系統!外部資料_108</vt:lpstr>
      <vt:lpstr>篩股系統!外部資料_109</vt:lpstr>
      <vt:lpstr>篩股系統!外部資料_110</vt:lpstr>
      <vt:lpstr>篩股系統!外部資料_111</vt:lpstr>
      <vt:lpstr>篩股系統!外部資料_112</vt:lpstr>
      <vt:lpstr>篩股系統!外部資料_113</vt:lpstr>
      <vt:lpstr>篩股系統!外部資料_114</vt:lpstr>
      <vt:lpstr>篩股系統!外部資料_115</vt:lpstr>
      <vt:lpstr>篩股系統!外部資料_116</vt:lpstr>
      <vt:lpstr>篩股系統!外部資料_117</vt:lpstr>
      <vt:lpstr>篩股系統!外部資料_118</vt:lpstr>
      <vt:lpstr>篩股系統!外部資料_119</vt:lpstr>
      <vt:lpstr>篩股系統!外部資料_120</vt:lpstr>
      <vt:lpstr>篩股系統!外部資料_121</vt:lpstr>
      <vt:lpstr>篩股系統!外部資料_122</vt:lpstr>
      <vt:lpstr>篩股系統!外部資料_123</vt:lpstr>
      <vt:lpstr>篩股系統!外部資料_124</vt:lpstr>
      <vt:lpstr>篩股系統!外部資料_83</vt:lpstr>
      <vt:lpstr>篩股系統!外部資料_84</vt:lpstr>
      <vt:lpstr>篩股系統!外部資料_85</vt:lpstr>
      <vt:lpstr>篩股系統!外部資料_86</vt:lpstr>
      <vt:lpstr>篩股系統!外部資料_87</vt:lpstr>
      <vt:lpstr>篩股系統!外部資料_88</vt:lpstr>
      <vt:lpstr>篩股系統!外部資料_89</vt:lpstr>
      <vt:lpstr>篩股系統!外部資料_90</vt:lpstr>
      <vt:lpstr>篩股系統!外部資料_91</vt:lpstr>
      <vt:lpstr>篩股系統!外部資料_92</vt:lpstr>
      <vt:lpstr>篩股系統!外部資料_93</vt:lpstr>
      <vt:lpstr>篩股系統!外部資料_94</vt:lpstr>
      <vt:lpstr>篩股系統!外部資料_95</vt:lpstr>
      <vt:lpstr>篩股系統!外部資料_96</vt:lpstr>
      <vt:lpstr>篩股系統!外部資料_97</vt:lpstr>
      <vt:lpstr>篩股系統!外部資料_98</vt:lpstr>
      <vt:lpstr>篩股系統!外部資料_99</vt:lpstr>
    </vt:vector>
  </TitlesOfParts>
  <Company>Home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Win7User</dc:creator>
  <cp:lastModifiedBy>SW</cp:lastModifiedBy>
  <dcterms:created xsi:type="dcterms:W3CDTF">2015-03-09T15:48:32Z</dcterms:created>
  <dcterms:modified xsi:type="dcterms:W3CDTF">2015-08-09T08:01:20Z</dcterms:modified>
</cp:coreProperties>
</file>